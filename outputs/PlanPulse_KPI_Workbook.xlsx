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ummary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KU_KPIs" sheetId="3" state="visible" r:id="rId3"/>
    <sheet xmlns:r="http://schemas.openxmlformats.org/officeDocument/2006/relationships" name="Accuracy_SKU" sheetId="4" state="visible" r:id="rId4"/>
    <sheet xmlns:r="http://schemas.openxmlformats.org/officeDocument/2006/relationships" name="OTIF_Supplier" sheetId="5" state="visible" r:id="rId5"/>
    <sheet xmlns:r="http://schemas.openxmlformats.org/officeDocument/2006/relationships" name="Actions" sheetId="6" state="visible" r:id="rId6"/>
    <sheet xmlns:r="http://schemas.openxmlformats.org/officeDocument/2006/relationships" name="Exceptions" sheetId="7" state="visible" r:id="rId7"/>
    <sheet xmlns:r="http://schemas.openxmlformats.org/officeDocument/2006/relationships" name="DQ_Resu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766E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2A33"/>
      </patternFill>
    </fill>
    <fill>
      <patternFill patternType="solid">
        <fgColor rgb="00F4C7C3"/>
      </patternFill>
    </fill>
    <fill>
      <patternFill patternType="solid">
        <fgColor rgb="00FCE8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1" fillId="0" borderId="0" pivotButton="0" quotePrefix="0" xfId="0"/>
    <xf numFmtId="165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4" fontId="1" fillId="0" borderId="0" pivotButton="0" quotePrefix="0" xfId="0"/>
    <xf numFmtId="0" fontId="1" fillId="4" borderId="0" pivotButton="0" quotePrefix="0" xfId="0"/>
    <xf numFmtId="0" fontId="1" fillId="5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14" customWidth="1" min="8" max="8"/>
    <col width="10" customWidth="1" min="9" max="9"/>
    <col width="13" customWidth="1" min="10" max="10"/>
    <col width="14" customWidth="1" min="11" max="11"/>
  </cols>
  <sheetData>
    <row r="1">
      <c r="A1" s="1" t="inlineStr">
        <is>
          <t>PlanPulse market summary, week of 2026-10-26 (simulated data)</t>
        </is>
      </c>
    </row>
    <row r="3" ht="32" customHeight="1">
      <c r="A3" s="2" t="inlineStr">
        <is>
          <t>Market</t>
        </is>
      </c>
      <c r="B3" s="2" t="inlineStr">
        <is>
          <t>SKUs</t>
        </is>
      </c>
      <c r="C3" s="2" t="inlineStr">
        <is>
          <t>Forecast WAPE</t>
        </is>
      </c>
      <c r="D3" s="2" t="inlineStr">
        <is>
          <t>Forecast bias</t>
        </is>
      </c>
      <c r="E3" s="2" t="inlineStr">
        <is>
          <t>Avg days of cover</t>
        </is>
      </c>
      <c r="F3" s="2" t="inlineStr">
        <is>
          <t>High stockout risk SKUs</t>
        </is>
      </c>
      <c r="G3" s="2" t="inlineStr">
        <is>
          <t>Below safety stock SKUs</t>
        </is>
      </c>
      <c r="H3" s="2" t="inlineStr">
        <is>
          <t>Excess value</t>
        </is>
      </c>
      <c r="I3" s="2" t="inlineStr">
        <is>
          <t>OTIF</t>
        </is>
      </c>
      <c r="J3" s="2" t="inlineStr">
        <is>
          <t>Open actions</t>
        </is>
      </c>
      <c r="K3" s="2" t="inlineStr">
        <is>
          <t>Overdue actions</t>
        </is>
      </c>
    </row>
    <row r="4">
      <c r="A4" s="3" t="inlineStr">
        <is>
          <t>APAC</t>
        </is>
      </c>
      <c r="B4" s="3">
        <f>COUNTIFS(SKU_KPIs!$A:$A,$A4)</f>
        <v/>
      </c>
      <c r="C4" s="4">
        <f>SUMIFS(Accuracy_SKU!$E:$E,Accuracy_SKU!$A:$A,$A4)/SUMIFS(Accuracy_SKU!$C:$C,Accuracy_SKU!$A:$A,$A4)</f>
        <v/>
      </c>
      <c r="D4" s="4">
        <f>(SUMIFS(Accuracy_SKU!$D:$D,Accuracy_SKU!$A:$A,$A4)-SUMIFS(Accuracy_SKU!$C:$C,Accuracy_SKU!$A:$A,$A4))/SUMIFS(Accuracy_SKU!$C:$C,Accuracy_SKU!$A:$A,$A4)</f>
        <v/>
      </c>
      <c r="E4" s="5">
        <f>AVERAGEIFS(SKU_KPIs!$I:$I,SKU_KPIs!$A:$A,$A4)</f>
        <v/>
      </c>
      <c r="F4" s="3">
        <f>COUNTIFS(SKU_KPIs!$A:$A,$A4,SKU_KPIs!$Q:$Q,"HIGH")</f>
        <v/>
      </c>
      <c r="G4" s="3">
        <f>SUMIFS(SKU_KPIs!$J:$J,SKU_KPIs!$A:$A,$A4)</f>
        <v/>
      </c>
      <c r="H4" s="6">
        <f>SUMIFS(SKU_KPIs!$R:$R,SKU_KPIs!$A:$A,$A4)</f>
        <v/>
      </c>
      <c r="I4" s="4">
        <f>SUMIFS(OTIF_Supplier!$F:$F,OTIF_Supplier!$A:$A,$A4)/SUMIFS(OTIF_Supplier!$C:$C,OTIF_Supplier!$A:$A,$A4)</f>
        <v/>
      </c>
      <c r="J4" s="3">
        <f>COUNTIFS(Actions!$B:$B,$A4,Actions!$I:$I,"Open")+COUNTIFS(Actions!$B:$B,$A4,Actions!$I:$I,"In Progress")</f>
        <v/>
      </c>
      <c r="K4" s="3">
        <f>COUNTIFS(Actions!$B:$B,$A4,Actions!$J:$J,"&gt;0")</f>
        <v/>
      </c>
    </row>
    <row r="5">
      <c r="A5" s="3" t="inlineStr">
        <is>
          <t>India</t>
        </is>
      </c>
      <c r="B5" s="3">
        <f>COUNTIFS(SKU_KPIs!$A:$A,$A5)</f>
        <v/>
      </c>
      <c r="C5" s="4">
        <f>SUMIFS(Accuracy_SKU!$E:$E,Accuracy_SKU!$A:$A,$A5)/SUMIFS(Accuracy_SKU!$C:$C,Accuracy_SKU!$A:$A,$A5)</f>
        <v/>
      </c>
      <c r="D5" s="4">
        <f>(SUMIFS(Accuracy_SKU!$D:$D,Accuracy_SKU!$A:$A,$A5)-SUMIFS(Accuracy_SKU!$C:$C,Accuracy_SKU!$A:$A,$A5))/SUMIFS(Accuracy_SKU!$C:$C,Accuracy_SKU!$A:$A,$A5)</f>
        <v/>
      </c>
      <c r="E5" s="5">
        <f>AVERAGEIFS(SKU_KPIs!$I:$I,SKU_KPIs!$A:$A,$A5)</f>
        <v/>
      </c>
      <c r="F5" s="3">
        <f>COUNTIFS(SKU_KPIs!$A:$A,$A5,SKU_KPIs!$Q:$Q,"HIGH")</f>
        <v/>
      </c>
      <c r="G5" s="3">
        <f>SUMIFS(SKU_KPIs!$J:$J,SKU_KPIs!$A:$A,$A5)</f>
        <v/>
      </c>
      <c r="H5" s="6">
        <f>SUMIFS(SKU_KPIs!$R:$R,SKU_KPIs!$A:$A,$A5)</f>
        <v/>
      </c>
      <c r="I5" s="4">
        <f>SUMIFS(OTIF_Supplier!$F:$F,OTIF_Supplier!$A:$A,$A5)/SUMIFS(OTIF_Supplier!$C:$C,OTIF_Supplier!$A:$A,$A5)</f>
        <v/>
      </c>
      <c r="J5" s="3">
        <f>COUNTIFS(Actions!$B:$B,$A5,Actions!$I:$I,"Open")+COUNTIFS(Actions!$B:$B,$A5,Actions!$I:$I,"In Progress")</f>
        <v/>
      </c>
      <c r="K5" s="3">
        <f>COUNTIFS(Actions!$B:$B,$A5,Actions!$J:$J,"&gt;0")</f>
        <v/>
      </c>
    </row>
    <row r="6">
      <c r="A6" s="3" t="inlineStr">
        <is>
          <t>MENA-PAK</t>
        </is>
      </c>
      <c r="B6" s="3">
        <f>COUNTIFS(SKU_KPIs!$A:$A,$A6)</f>
        <v/>
      </c>
      <c r="C6" s="4">
        <f>SUMIFS(Accuracy_SKU!$E:$E,Accuracy_SKU!$A:$A,$A6)/SUMIFS(Accuracy_SKU!$C:$C,Accuracy_SKU!$A:$A,$A6)</f>
        <v/>
      </c>
      <c r="D6" s="4">
        <f>(SUMIFS(Accuracy_SKU!$D:$D,Accuracy_SKU!$A:$A,$A6)-SUMIFS(Accuracy_SKU!$C:$C,Accuracy_SKU!$A:$A,$A6))/SUMIFS(Accuracy_SKU!$C:$C,Accuracy_SKU!$A:$A,$A6)</f>
        <v/>
      </c>
      <c r="E6" s="5">
        <f>AVERAGEIFS(SKU_KPIs!$I:$I,SKU_KPIs!$A:$A,$A6)</f>
        <v/>
      </c>
      <c r="F6" s="3">
        <f>COUNTIFS(SKU_KPIs!$A:$A,$A6,SKU_KPIs!$Q:$Q,"HIGH")</f>
        <v/>
      </c>
      <c r="G6" s="3">
        <f>SUMIFS(SKU_KPIs!$J:$J,SKU_KPIs!$A:$A,$A6)</f>
        <v/>
      </c>
      <c r="H6" s="6">
        <f>SUMIFS(SKU_KPIs!$R:$R,SKU_KPIs!$A:$A,$A6)</f>
        <v/>
      </c>
      <c r="I6" s="4">
        <f>SUMIFS(OTIF_Supplier!$F:$F,OTIF_Supplier!$A:$A,$A6)/SUMIFS(OTIF_Supplier!$C:$C,OTIF_Supplier!$A:$A,$A6)</f>
        <v/>
      </c>
      <c r="J6" s="3">
        <f>COUNTIFS(Actions!$B:$B,$A6,Actions!$I:$I,"Open")+COUNTIFS(Actions!$B:$B,$A6,Actions!$I:$I,"In Progress")</f>
        <v/>
      </c>
      <c r="K6" s="3">
        <f>COUNTIFS(Actions!$B:$B,$A6,Actions!$J:$J,"&gt;0")</f>
        <v/>
      </c>
    </row>
    <row r="7">
      <c r="A7" s="3" t="inlineStr">
        <is>
          <t>South Africa</t>
        </is>
      </c>
      <c r="B7" s="3">
        <f>COUNTIFS(SKU_KPIs!$A:$A,$A7)</f>
        <v/>
      </c>
      <c r="C7" s="4">
        <f>SUMIFS(Accuracy_SKU!$E:$E,Accuracy_SKU!$A:$A,$A7)/SUMIFS(Accuracy_SKU!$C:$C,Accuracy_SKU!$A:$A,$A7)</f>
        <v/>
      </c>
      <c r="D7" s="4">
        <f>(SUMIFS(Accuracy_SKU!$D:$D,Accuracy_SKU!$A:$A,$A7)-SUMIFS(Accuracy_SKU!$C:$C,Accuracy_SKU!$A:$A,$A7))/SUMIFS(Accuracy_SKU!$C:$C,Accuracy_SKU!$A:$A,$A7)</f>
        <v/>
      </c>
      <c r="E7" s="5">
        <f>AVERAGEIFS(SKU_KPIs!$I:$I,SKU_KPIs!$A:$A,$A7)</f>
        <v/>
      </c>
      <c r="F7" s="3">
        <f>COUNTIFS(SKU_KPIs!$A:$A,$A7,SKU_KPIs!$Q:$Q,"HIGH")</f>
        <v/>
      </c>
      <c r="G7" s="3">
        <f>SUMIFS(SKU_KPIs!$J:$J,SKU_KPIs!$A:$A,$A7)</f>
        <v/>
      </c>
      <c r="H7" s="6">
        <f>SUMIFS(SKU_KPIs!$R:$R,SKU_KPIs!$A:$A,$A7)</f>
        <v/>
      </c>
      <c r="I7" s="4">
        <f>SUMIFS(OTIF_Supplier!$F:$F,OTIF_Supplier!$A:$A,$A7)/SUMIFS(OTIF_Supplier!$C:$C,OTIF_Supplier!$A:$A,$A7)</f>
        <v/>
      </c>
      <c r="J7" s="3">
        <f>COUNTIFS(Actions!$B:$B,$A7,Actions!$I:$I,"Open")+COUNTIFS(Actions!$B:$B,$A7,Actions!$I:$I,"In Progress")</f>
        <v/>
      </c>
      <c r="K7" s="3">
        <f>COUNTIFS(Actions!$B:$B,$A7,Actions!$J:$J,"&gt;0")</f>
        <v/>
      </c>
    </row>
    <row r="8">
      <c r="A8" s="7" t="inlineStr">
        <is>
          <t>All markets</t>
        </is>
      </c>
      <c r="B8" s="7">
        <f>SUM(B4:B7)</f>
        <v/>
      </c>
      <c r="C8" s="8">
        <f>SUM(Accuracy_SKU!$E:$E)/SUM(Accuracy_SKU!$C:$C)</f>
        <v/>
      </c>
      <c r="D8" s="8">
        <f>(SUM(Accuracy_SKU!$D:$D)-SUM(Accuracy_SKU!$C:$C))/SUM(Accuracy_SKU!$C:$C)</f>
        <v/>
      </c>
      <c r="E8" s="9">
        <f>AVERAGE(SKU_KPIs!$I:$I)</f>
        <v/>
      </c>
      <c r="F8" s="7">
        <f>SUM(F4:F7)</f>
        <v/>
      </c>
      <c r="G8" s="7">
        <f>SUM(G4:G7)</f>
        <v/>
      </c>
      <c r="H8" s="10">
        <f>SUM(H4:H7)</f>
        <v/>
      </c>
      <c r="I8" s="8">
        <f>SUM(OTIF_Supplier!$F:$F)/SUM(OTIF_Supplier!$C:$C)</f>
        <v/>
      </c>
      <c r="J8" s="7">
        <f>SUM(J4:J7)</f>
        <v/>
      </c>
      <c r="K8" s="7">
        <f>SUM(K4:K7)</f>
        <v/>
      </c>
    </row>
    <row r="10">
      <c r="A10" s="11" t="inlineStr">
        <is>
          <t>Excess value is in simulated currency units. Cover uses the next 4 weeks of system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2" t="inlineStr">
        <is>
          <t>PlanPulse KPI workbook</t>
        </is>
      </c>
      <c r="B1" s="13" t="inlineStr">
        <is>
          <t>Week of 2026-10-26. SIMULATED DATA, not real ISCP or company data.</t>
        </is>
      </c>
    </row>
    <row r="2">
      <c r="A2" s="13" t="inlineStr">
        <is>
          <t>EXCESS_DAYS</t>
        </is>
      </c>
      <c r="B2" s="14" t="n">
        <v>120</v>
      </c>
    </row>
    <row r="3">
      <c r="A3" s="13" t="inlineStr">
        <is>
          <t>Meaning</t>
        </is>
      </c>
      <c r="B3" s="13" t="inlineStr">
        <is>
          <t>Cover above this many days counts as excess (SKU_KPIs column R)</t>
        </is>
      </c>
    </row>
    <row r="4">
      <c r="A4" s="13" t="inlineStr"/>
      <c r="B4" s="13" t="inlineStr"/>
    </row>
    <row r="5">
      <c r="A5" s="13" t="inlineStr">
        <is>
          <t>Sheet</t>
        </is>
      </c>
      <c r="B5" s="13" t="inlineStr">
        <is>
          <t>What it holds</t>
        </is>
      </c>
    </row>
    <row r="6">
      <c r="A6" s="13" t="inlineStr">
        <is>
          <t>Market_Summary</t>
        </is>
      </c>
      <c r="B6" s="13" t="inlineStr">
        <is>
          <t>Per-market KPIs. Every number is a formula over the other sheets.</t>
        </is>
      </c>
    </row>
    <row r="7">
      <c r="A7" s="13" t="inlineStr">
        <is>
          <t>SKU_KPIs</t>
        </is>
      </c>
      <c r="B7" s="13" t="inlineStr">
        <is>
          <t>One row per SKU with clean stock data. Columns I, J, N, O, R are formulas; the rest are values from the DuckDB KPI layer.</t>
        </is>
      </c>
    </row>
    <row r="8">
      <c r="A8" s="13" t="inlineStr">
        <is>
          <t>Accuracy_SKU</t>
        </is>
      </c>
      <c r="B8" s="13" t="inlineStr">
        <is>
          <t>Forecast accuracy for every SKU with sales and forecast, including SKUs held out of SKU_KPIs for stock data problems. Market WAPE and bias read from here.</t>
        </is>
      </c>
    </row>
    <row r="9">
      <c r="A9" s="13" t="inlineStr">
        <is>
          <t>OTIF_Supplier</t>
        </is>
      </c>
      <c r="B9" s="13" t="inlineStr">
        <is>
          <t>Closed POs in the trailing window. Percent columns are formulas.</t>
        </is>
      </c>
    </row>
    <row r="10">
      <c r="A10" s="13" t="inlineStr">
        <is>
          <t>Actions / Exceptions / DQ_Results</t>
        </is>
      </c>
      <c r="B10" s="13" t="inlineStr">
        <is>
          <t>Values exported from the tracker, exception list and data-quality checks.</t>
        </is>
      </c>
    </row>
    <row r="11">
      <c r="A11" s="13" t="inlineStr"/>
      <c r="B11" s="13" t="inlineStr"/>
    </row>
    <row r="12">
      <c r="A12" s="13" t="inlineStr">
        <is>
          <t>Definitions</t>
        </is>
      </c>
      <c r="B12" s="13" t="inlineStr">
        <is>
          <t>Days of cover = on hand / (average weekly forecast, next 4 weeks / 7). WAPE = sum |forecast - actual| / sum actual. Bias = (sum forecast - sum actual) / sum actual. OTIF = POs on time AND in full / POs received.</t>
        </is>
      </c>
    </row>
    <row r="13">
      <c r="A13" s="13" t="inlineStr">
        <is>
          <t>Stockout risk</t>
        </is>
      </c>
      <c r="B13" s="13" t="inlineStr">
        <is>
          <t>HIGH = projected stockout earlier than the lead time (a new order cannot land in time). MEDIUM = stockout within 8 weeks but after lead time. Value from SQL, not a formula.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0" customWidth="1" min="4" max="4"/>
    <col width="14" customWidth="1" min="5" max="5"/>
    <col width="16" customWidth="1" min="6" max="6"/>
    <col width="20" customWidth="1" min="7" max="7"/>
    <col width="11" customWidth="1" min="8" max="8"/>
    <col width="46" customWidth="1" min="9" max="9"/>
    <col width="40" customWidth="1" min="10" max="10"/>
    <col width="17" customWidth="1" min="11" max="11"/>
    <col width="19" customWidth="1" min="12" max="12"/>
    <col width="12" customWidth="1" min="13" max="13"/>
    <col width="46" customWidth="1" min="14" max="14"/>
    <col width="46" customWidth="1" min="15" max="15"/>
    <col width="15" customWidth="1" min="16" max="16"/>
    <col width="15" customWidth="1" min="17" max="17"/>
    <col width="46" customWidth="1" min="18" max="18"/>
  </cols>
  <sheetData>
    <row r="1">
      <c r="A1" s="2" t="inlineStr">
        <is>
          <t>market</t>
        </is>
      </c>
      <c r="B1" s="2" t="inlineStr">
        <is>
          <t>sku</t>
        </is>
      </c>
      <c r="C1" s="2" t="inlineStr">
        <is>
          <t>category</t>
        </is>
      </c>
      <c r="D1" s="2" t="inlineStr">
        <is>
          <t>on_hand</t>
        </is>
      </c>
      <c r="E1" s="2" t="inlineStr">
        <is>
          <t>safety_stock</t>
        </is>
      </c>
      <c r="F1" s="2" t="inlineStr">
        <is>
          <t>lead_time_days</t>
        </is>
      </c>
      <c r="G1" s="2" t="inlineStr">
        <is>
          <t>avg_weekly_fcst_4w</t>
        </is>
      </c>
      <c r="H1" s="2" t="inlineStr">
        <is>
          <t>unit_cost</t>
        </is>
      </c>
      <c r="I1" s="2" t="inlineStr">
        <is>
          <t>days_of_cover</t>
        </is>
      </c>
      <c r="J1" s="2" t="inlineStr">
        <is>
          <t>below_safety</t>
        </is>
      </c>
      <c r="K1" s="2" t="inlineStr">
        <is>
          <t>actual_units_8w</t>
        </is>
      </c>
      <c r="L1" s="2" t="inlineStr">
        <is>
          <t>forecast_units_8w</t>
        </is>
      </c>
      <c r="M1" s="2" t="inlineStr">
        <is>
          <t>abs_err_8w</t>
        </is>
      </c>
      <c r="N1" s="2" t="inlineStr">
        <is>
          <t>wape</t>
        </is>
      </c>
      <c r="O1" s="2" t="inlineStr">
        <is>
          <t>bias</t>
        </is>
      </c>
      <c r="P1" s="2" t="inlineStr">
        <is>
          <t>stockout_week</t>
        </is>
      </c>
      <c r="Q1" s="2" t="inlineStr">
        <is>
          <t>stockout_risk</t>
        </is>
      </c>
      <c r="R1" s="2" t="inlineStr">
        <is>
          <t>excess_value</t>
        </is>
      </c>
    </row>
    <row r="2">
      <c r="A2" s="3" t="inlineStr">
        <is>
          <t>APAC</t>
        </is>
      </c>
      <c r="B2" s="3" t="inlineStr">
        <is>
          <t>AP-ACC-002</t>
        </is>
      </c>
      <c r="C2" s="3" t="inlineStr">
        <is>
          <t>Accessories</t>
        </is>
      </c>
      <c r="D2" s="3" t="n">
        <v>118</v>
      </c>
      <c r="E2" s="3" t="n">
        <v>27</v>
      </c>
      <c r="F2" s="3" t="n">
        <v>25</v>
      </c>
      <c r="G2" s="5" t="n">
        <v>61.5</v>
      </c>
      <c r="H2" s="15" t="n">
        <v>859.96</v>
      </c>
      <c r="I2" s="5">
        <f>IF(AND(ISNUMBER(G2),G2&gt;0),D2/(G2/7),"")</f>
        <v/>
      </c>
      <c r="J2" s="3">
        <f>IF(AND(ISNUMBER(E2),D2&lt;E2),1,0)</f>
        <v/>
      </c>
      <c r="K2" s="3" t="n">
        <v>547</v>
      </c>
      <c r="L2" s="3" t="n">
        <v>472</v>
      </c>
      <c r="M2" s="3" t="n">
        <v>79</v>
      </c>
      <c r="N2" s="4">
        <f>IF(AND(ISNUMBER(K2),K2&gt;0),M2/K2,"")</f>
        <v/>
      </c>
      <c r="O2" s="4">
        <f>IF(AND(ISNUMBER(K2),K2&gt;0),(L2-K2)/K2,"")</f>
        <v/>
      </c>
      <c r="P2" s="3" t="n"/>
      <c r="Q2" s="3" t="inlineStr">
        <is>
          <t>LOW</t>
        </is>
      </c>
      <c r="R2" s="6">
        <f>IF(ISNUMBER(G2),MAX(0,D2-Legend!$B$2*G2/7)*H2,0)</f>
        <v/>
      </c>
    </row>
    <row r="3">
      <c r="A3" s="3" t="inlineStr">
        <is>
          <t>APAC</t>
        </is>
      </c>
      <c r="B3" s="3" t="inlineStr">
        <is>
          <t>AP-ACC-006</t>
        </is>
      </c>
      <c r="C3" s="3" t="inlineStr">
        <is>
          <t>Accessories</t>
        </is>
      </c>
      <c r="D3" s="3" t="n">
        <v>145</v>
      </c>
      <c r="E3" s="3" t="n">
        <v>22</v>
      </c>
      <c r="F3" s="3" t="n">
        <v>25</v>
      </c>
      <c r="G3" s="5" t="n">
        <v>51</v>
      </c>
      <c r="H3" s="15" t="n">
        <v>333.54</v>
      </c>
      <c r="I3" s="5">
        <f>IF(AND(ISNUMBER(G3),G3&gt;0),D3/(G3/7),"")</f>
        <v/>
      </c>
      <c r="J3" s="3">
        <f>IF(AND(ISNUMBER(E3),D3&lt;E3),1,0)</f>
        <v/>
      </c>
      <c r="K3" s="3" t="n">
        <v>316</v>
      </c>
      <c r="L3" s="3" t="n">
        <v>327</v>
      </c>
      <c r="M3" s="3" t="n">
        <v>65</v>
      </c>
      <c r="N3" s="4">
        <f>IF(AND(ISNUMBER(K3),K3&gt;0),M3/K3,"")</f>
        <v/>
      </c>
      <c r="O3" s="4">
        <f>IF(AND(ISNUMBER(K3),K3&gt;0),(L3-K3)/K3,"")</f>
        <v/>
      </c>
      <c r="P3" s="3" t="n"/>
      <c r="Q3" s="3" t="inlineStr">
        <is>
          <t>LOW</t>
        </is>
      </c>
      <c r="R3" s="6">
        <f>IF(ISNUMBER(G3),MAX(0,D3-Legend!$B$2*G3/7)*H3,0)</f>
        <v/>
      </c>
    </row>
    <row r="4">
      <c r="A4" s="3" t="inlineStr">
        <is>
          <t>APAC</t>
        </is>
      </c>
      <c r="B4" s="3" t="inlineStr">
        <is>
          <t>AP-ACC-010</t>
        </is>
      </c>
      <c r="C4" s="3" t="inlineStr">
        <is>
          <t>Accessories</t>
        </is>
      </c>
      <c r="D4" s="3" t="n">
        <v>1035</v>
      </c>
      <c r="E4" s="3" t="n">
        <v>35</v>
      </c>
      <c r="F4" s="3" t="n">
        <v>33</v>
      </c>
      <c r="G4" s="5" t="n">
        <v>44</v>
      </c>
      <c r="H4" s="15" t="n">
        <v>461.95</v>
      </c>
      <c r="I4" s="5">
        <f>IF(AND(ISNUMBER(G4),G4&gt;0),D4/(G4/7),"")</f>
        <v/>
      </c>
      <c r="J4" s="3">
        <f>IF(AND(ISNUMBER(E4),D4&lt;E4),1,0)</f>
        <v/>
      </c>
      <c r="K4" s="3" t="n">
        <v>365</v>
      </c>
      <c r="L4" s="3" t="n">
        <v>373</v>
      </c>
      <c r="M4" s="3" t="n">
        <v>58</v>
      </c>
      <c r="N4" s="4">
        <f>IF(AND(ISNUMBER(K4),K4&gt;0),M4/K4,"")</f>
        <v/>
      </c>
      <c r="O4" s="4">
        <f>IF(AND(ISNUMBER(K4),K4&gt;0),(L4-K4)/K4,"")</f>
        <v/>
      </c>
      <c r="P4" s="3" t="n"/>
      <c r="Q4" s="3" t="inlineStr">
        <is>
          <t>LOW</t>
        </is>
      </c>
      <c r="R4" s="6">
        <f>IF(ISNUMBER(G4),MAX(0,D4-Legend!$B$2*G4/7)*H4,0)</f>
        <v/>
      </c>
    </row>
    <row r="5">
      <c r="A5" s="3" t="inlineStr">
        <is>
          <t>APAC</t>
        </is>
      </c>
      <c r="B5" s="3" t="inlineStr">
        <is>
          <t>AP-ACC-018</t>
        </is>
      </c>
      <c r="C5" s="3" t="inlineStr">
        <is>
          <t>Accessories</t>
        </is>
      </c>
      <c r="D5" s="3" t="n">
        <v>220</v>
      </c>
      <c r="E5" s="3" t="n">
        <v>34</v>
      </c>
      <c r="F5" s="3" t="n">
        <v>35</v>
      </c>
      <c r="G5" s="5" t="n">
        <v>49</v>
      </c>
      <c r="H5" s="15" t="n">
        <v>736.5700000000001</v>
      </c>
      <c r="I5" s="5">
        <f>IF(AND(ISNUMBER(G5),G5&gt;0),D5/(G5/7),"")</f>
        <v/>
      </c>
      <c r="J5" s="3">
        <f>IF(AND(ISNUMBER(E5),D5&lt;E5),1,0)</f>
        <v/>
      </c>
      <c r="K5" s="3" t="n">
        <v>411</v>
      </c>
      <c r="L5" s="3" t="n">
        <v>403</v>
      </c>
      <c r="M5" s="3" t="n">
        <v>60</v>
      </c>
      <c r="N5" s="4">
        <f>IF(AND(ISNUMBER(K5),K5&gt;0),M5/K5,"")</f>
        <v/>
      </c>
      <c r="O5" s="4">
        <f>IF(AND(ISNUMBER(K5),K5&gt;0),(L5-K5)/K5,"")</f>
        <v/>
      </c>
      <c r="P5" s="3" t="n"/>
      <c r="Q5" s="3" t="inlineStr">
        <is>
          <t>LOW</t>
        </is>
      </c>
      <c r="R5" s="6">
        <f>IF(ISNUMBER(G5),MAX(0,D5-Legend!$B$2*G5/7)*H5,0)</f>
        <v/>
      </c>
    </row>
    <row r="6">
      <c r="A6" s="3" t="inlineStr">
        <is>
          <t>APAC</t>
        </is>
      </c>
      <c r="B6" s="3" t="inlineStr">
        <is>
          <t>AP-ACC-022</t>
        </is>
      </c>
      <c r="C6" s="3" t="inlineStr">
        <is>
          <t>Accessories</t>
        </is>
      </c>
      <c r="D6" s="3" t="n">
        <v>86</v>
      </c>
      <c r="E6" s="3" t="n">
        <v>29</v>
      </c>
      <c r="F6" s="3" t="n">
        <v>17</v>
      </c>
      <c r="G6" s="5" t="n">
        <v>68</v>
      </c>
      <c r="H6" s="15" t="n">
        <v>316.64</v>
      </c>
      <c r="I6" s="5">
        <f>IF(AND(ISNUMBER(G6),G6&gt;0),D6/(G6/7),"")</f>
        <v/>
      </c>
      <c r="J6" s="3">
        <f>IF(AND(ISNUMBER(E6),D6&lt;E6),1,0)</f>
        <v/>
      </c>
      <c r="K6" s="3" t="n">
        <v>440</v>
      </c>
      <c r="L6" s="3" t="n">
        <v>612</v>
      </c>
      <c r="M6" s="3" t="n">
        <v>172</v>
      </c>
      <c r="N6" s="4">
        <f>IF(AND(ISNUMBER(K6),K6&gt;0),M6/K6,"")</f>
        <v/>
      </c>
      <c r="O6" s="4">
        <f>IF(AND(ISNUMBER(K6),K6&gt;0),(L6-K6)/K6,"")</f>
        <v/>
      </c>
      <c r="P6" s="3" t="n">
        <v>1</v>
      </c>
      <c r="Q6" s="16" t="inlineStr">
        <is>
          <t>HIGH</t>
        </is>
      </c>
      <c r="R6" s="6">
        <f>IF(ISNUMBER(G6),MAX(0,D6-Legend!$B$2*G6/7)*H6,0)</f>
        <v/>
      </c>
    </row>
    <row r="7">
      <c r="A7" s="3" t="inlineStr">
        <is>
          <t>APAC</t>
        </is>
      </c>
      <c r="B7" s="3" t="inlineStr">
        <is>
          <t>AP-ACC-026</t>
        </is>
      </c>
      <c r="C7" s="3" t="inlineStr">
        <is>
          <t>Accessories</t>
        </is>
      </c>
      <c r="D7" s="3" t="n">
        <v>182</v>
      </c>
      <c r="E7" s="3" t="n">
        <v>44</v>
      </c>
      <c r="F7" s="3" t="n">
        <v>25</v>
      </c>
      <c r="G7" s="5" t="n">
        <v>48.75</v>
      </c>
      <c r="H7" s="15" t="n">
        <v>541.29</v>
      </c>
      <c r="I7" s="5">
        <f>IF(AND(ISNUMBER(G7),G7&gt;0),D7/(G7/7),"")</f>
        <v/>
      </c>
      <c r="J7" s="3">
        <f>IF(AND(ISNUMBER(E7),D7&lt;E7),1,0)</f>
        <v/>
      </c>
      <c r="K7" s="3" t="n">
        <v>403</v>
      </c>
      <c r="L7" s="3" t="n">
        <v>407</v>
      </c>
      <c r="M7" s="3" t="n">
        <v>42</v>
      </c>
      <c r="N7" s="4">
        <f>IF(AND(ISNUMBER(K7),K7&gt;0),M7/K7,"")</f>
        <v/>
      </c>
      <c r="O7" s="4">
        <f>IF(AND(ISNUMBER(K7),K7&gt;0),(L7-K7)/K7,"")</f>
        <v/>
      </c>
      <c r="P7" s="3" t="n"/>
      <c r="Q7" s="3" t="inlineStr">
        <is>
          <t>LOW</t>
        </is>
      </c>
      <c r="R7" s="6">
        <f>IF(ISNUMBER(G7),MAX(0,D7-Legend!$B$2*G7/7)*H7,0)</f>
        <v/>
      </c>
    </row>
    <row r="8">
      <c r="A8" s="3" t="inlineStr">
        <is>
          <t>APAC</t>
        </is>
      </c>
      <c r="B8" s="3" t="inlineStr">
        <is>
          <t>AP-ACC-030</t>
        </is>
      </c>
      <c r="C8" s="3" t="inlineStr">
        <is>
          <t>Accessories</t>
        </is>
      </c>
      <c r="D8" s="3" t="n">
        <v>564</v>
      </c>
      <c r="E8" s="3" t="n">
        <v>85</v>
      </c>
      <c r="F8" s="3" t="n">
        <v>32</v>
      </c>
      <c r="G8" s="5" t="n">
        <v>112.5</v>
      </c>
      <c r="H8" s="15" t="n">
        <v>757.84</v>
      </c>
      <c r="I8" s="5">
        <f>IF(AND(ISNUMBER(G8),G8&gt;0),D8/(G8/7),"")</f>
        <v/>
      </c>
      <c r="J8" s="3">
        <f>IF(AND(ISNUMBER(E8),D8&lt;E8),1,0)</f>
        <v/>
      </c>
      <c r="K8" s="3" t="n">
        <v>1039</v>
      </c>
      <c r="L8" s="3" t="n">
        <v>1032</v>
      </c>
      <c r="M8" s="3" t="n">
        <v>83</v>
      </c>
      <c r="N8" s="4">
        <f>IF(AND(ISNUMBER(K8),K8&gt;0),M8/K8,"")</f>
        <v/>
      </c>
      <c r="O8" s="4">
        <f>IF(AND(ISNUMBER(K8),K8&gt;0),(L8-K8)/K8,"")</f>
        <v/>
      </c>
      <c r="P8" s="3" t="n">
        <v>5</v>
      </c>
      <c r="Q8" s="17" t="inlineStr">
        <is>
          <t>MEDIUM</t>
        </is>
      </c>
      <c r="R8" s="6">
        <f>IF(ISNUMBER(G8),MAX(0,D8-Legend!$B$2*G8/7)*H8,0)</f>
        <v/>
      </c>
    </row>
    <row r="9">
      <c r="A9" s="3" t="inlineStr">
        <is>
          <t>APAC</t>
        </is>
      </c>
      <c r="B9" s="3" t="inlineStr">
        <is>
          <t>AP-ACC-034</t>
        </is>
      </c>
      <c r="C9" s="3" t="inlineStr">
        <is>
          <t>Accessories</t>
        </is>
      </c>
      <c r="D9" s="3" t="n">
        <v>532</v>
      </c>
      <c r="E9" s="3" t="n">
        <v>29</v>
      </c>
      <c r="F9" s="3" t="n">
        <v>21</v>
      </c>
      <c r="G9" s="5" t="n">
        <v>58</v>
      </c>
      <c r="H9" s="15" t="n">
        <v>707.86</v>
      </c>
      <c r="I9" s="5">
        <f>IF(AND(ISNUMBER(G9),G9&gt;0),D9/(G9/7),"")</f>
        <v/>
      </c>
      <c r="J9" s="3">
        <f>IF(AND(ISNUMBER(E9),D9&lt;E9),1,0)</f>
        <v/>
      </c>
      <c r="K9" s="3" t="n">
        <v>493</v>
      </c>
      <c r="L9" s="3" t="n">
        <v>480</v>
      </c>
      <c r="M9" s="3" t="n">
        <v>131</v>
      </c>
      <c r="N9" s="4">
        <f>IF(AND(ISNUMBER(K9),K9&gt;0),M9/K9,"")</f>
        <v/>
      </c>
      <c r="O9" s="4">
        <f>IF(AND(ISNUMBER(K9),K9&gt;0),(L9-K9)/K9,"")</f>
        <v/>
      </c>
      <c r="P9" s="3" t="n"/>
      <c r="Q9" s="3" t="inlineStr">
        <is>
          <t>LOW</t>
        </is>
      </c>
      <c r="R9" s="6">
        <f>IF(ISNUMBER(G9),MAX(0,D9-Legend!$B$2*G9/7)*H9,0)</f>
        <v/>
      </c>
    </row>
    <row r="10">
      <c r="A10" s="3" t="inlineStr">
        <is>
          <t>APAC</t>
        </is>
      </c>
      <c r="B10" s="3" t="inlineStr">
        <is>
          <t>AP-ACC-038</t>
        </is>
      </c>
      <c r="C10" s="3" t="inlineStr">
        <is>
          <t>Accessories</t>
        </is>
      </c>
      <c r="D10" s="3" t="n">
        <v>205</v>
      </c>
      <c r="E10" s="3" t="n">
        <v>28</v>
      </c>
      <c r="F10" s="3" t="n">
        <v>21</v>
      </c>
      <c r="G10" s="5" t="n">
        <v>47</v>
      </c>
      <c r="H10" s="15" t="n">
        <v>374.67</v>
      </c>
      <c r="I10" s="5">
        <f>IF(AND(ISNUMBER(G10),G10&gt;0),D10/(G10/7),"")</f>
        <v/>
      </c>
      <c r="J10" s="3">
        <f>IF(AND(ISNUMBER(E10),D10&lt;E10),1,0)</f>
        <v/>
      </c>
      <c r="K10" s="3" t="n">
        <v>420</v>
      </c>
      <c r="L10" s="3" t="n">
        <v>399</v>
      </c>
      <c r="M10" s="3" t="n">
        <v>55</v>
      </c>
      <c r="N10" s="4">
        <f>IF(AND(ISNUMBER(K10),K10&gt;0),M10/K10,"")</f>
        <v/>
      </c>
      <c r="O10" s="4">
        <f>IF(AND(ISNUMBER(K10),K10&gt;0),(L10-K10)/K10,"")</f>
        <v/>
      </c>
      <c r="P10" s="3" t="n"/>
      <c r="Q10" s="3" t="inlineStr">
        <is>
          <t>LOW</t>
        </is>
      </c>
      <c r="R10" s="6">
        <f>IF(ISNUMBER(G10),MAX(0,D10-Legend!$B$2*G10/7)*H10,0)</f>
        <v/>
      </c>
    </row>
    <row r="11">
      <c r="A11" s="3" t="inlineStr">
        <is>
          <t>APAC</t>
        </is>
      </c>
      <c r="B11" s="3" t="inlineStr">
        <is>
          <t>AP-ACC-042</t>
        </is>
      </c>
      <c r="C11" s="3" t="inlineStr">
        <is>
          <t>Accessories</t>
        </is>
      </c>
      <c r="D11" s="3" t="n">
        <v>523</v>
      </c>
      <c r="E11" s="3" t="n">
        <v>80</v>
      </c>
      <c r="F11" s="3" t="n">
        <v>24</v>
      </c>
      <c r="G11" s="5" t="n">
        <v>162.75</v>
      </c>
      <c r="H11" s="15" t="n">
        <v>732.7</v>
      </c>
      <c r="I11" s="5">
        <f>IF(AND(ISNUMBER(G11),G11&gt;0),D11/(G11/7),"")</f>
        <v/>
      </c>
      <c r="J11" s="3">
        <f>IF(AND(ISNUMBER(E11),D11&lt;E11),1,0)</f>
        <v/>
      </c>
      <c r="K11" s="3" t="n">
        <v>1321</v>
      </c>
      <c r="L11" s="3" t="n">
        <v>1419</v>
      </c>
      <c r="M11" s="3" t="n">
        <v>206</v>
      </c>
      <c r="N11" s="4">
        <f>IF(AND(ISNUMBER(K11),K11&gt;0),M11/K11,"")</f>
        <v/>
      </c>
      <c r="O11" s="4">
        <f>IF(AND(ISNUMBER(K11),K11&gt;0),(L11-K11)/K11,"")</f>
        <v/>
      </c>
      <c r="P11" s="3" t="n">
        <v>5</v>
      </c>
      <c r="Q11" s="17" t="inlineStr">
        <is>
          <t>MEDIUM</t>
        </is>
      </c>
      <c r="R11" s="6">
        <f>IF(ISNUMBER(G11),MAX(0,D11-Legend!$B$2*G11/7)*H11,0)</f>
        <v/>
      </c>
    </row>
    <row r="12">
      <c r="A12" s="3" t="inlineStr">
        <is>
          <t>APAC</t>
        </is>
      </c>
      <c r="B12" s="3" t="inlineStr">
        <is>
          <t>AP-DEV-001</t>
        </is>
      </c>
      <c r="C12" s="3" t="inlineStr">
        <is>
          <t>Devices</t>
        </is>
      </c>
      <c r="D12" s="3" t="n">
        <v>5327</v>
      </c>
      <c r="E12" s="3" t="n">
        <v>68</v>
      </c>
      <c r="F12" s="3" t="n">
        <v>24</v>
      </c>
      <c r="G12" s="5" t="n">
        <v>140.25</v>
      </c>
      <c r="H12" s="15" t="n">
        <v>295.6</v>
      </c>
      <c r="I12" s="5">
        <f>IF(AND(ISNUMBER(G12),G12&gt;0),D12/(G12/7),"")</f>
        <v/>
      </c>
      <c r="J12" s="3">
        <f>IF(AND(ISNUMBER(E12),D12&lt;E12),1,0)</f>
        <v/>
      </c>
      <c r="K12" s="3" t="n">
        <v>1070</v>
      </c>
      <c r="L12" s="3" t="n">
        <v>1189</v>
      </c>
      <c r="M12" s="3" t="n">
        <v>251</v>
      </c>
      <c r="N12" s="4">
        <f>IF(AND(ISNUMBER(K12),K12&gt;0),M12/K12,"")</f>
        <v/>
      </c>
      <c r="O12" s="4">
        <f>IF(AND(ISNUMBER(K12),K12&gt;0),(L12-K12)/K12,"")</f>
        <v/>
      </c>
      <c r="P12" s="3" t="n"/>
      <c r="Q12" s="3" t="inlineStr">
        <is>
          <t>LOW</t>
        </is>
      </c>
      <c r="R12" s="6">
        <f>IF(ISNUMBER(G12),MAX(0,D12-Legend!$B$2*G12/7)*H12,0)</f>
        <v/>
      </c>
    </row>
    <row r="13">
      <c r="A13" s="3" t="inlineStr">
        <is>
          <t>APAC</t>
        </is>
      </c>
      <c r="B13" s="3" t="inlineStr">
        <is>
          <t>AP-DEV-005</t>
        </is>
      </c>
      <c r="C13" s="3" t="inlineStr">
        <is>
          <t>Devices</t>
        </is>
      </c>
      <c r="D13" s="3" t="n">
        <v>315</v>
      </c>
      <c r="E13" s="3" t="n">
        <v>13</v>
      </c>
      <c r="F13" s="3" t="n">
        <v>22</v>
      </c>
      <c r="G13" s="5" t="n">
        <v>19.25</v>
      </c>
      <c r="H13" s="15" t="n">
        <v>99.66</v>
      </c>
      <c r="I13" s="5">
        <f>IF(AND(ISNUMBER(G13),G13&gt;0),D13/(G13/7),"")</f>
        <v/>
      </c>
      <c r="J13" s="3">
        <f>IF(AND(ISNUMBER(E13),D13&lt;E13),1,0)</f>
        <v/>
      </c>
      <c r="K13" s="3" t="n">
        <v>217</v>
      </c>
      <c r="L13" s="3" t="n">
        <v>161</v>
      </c>
      <c r="M13" s="3" t="n">
        <v>64</v>
      </c>
      <c r="N13" s="4">
        <f>IF(AND(ISNUMBER(K13),K13&gt;0),M13/K13,"")</f>
        <v/>
      </c>
      <c r="O13" s="4">
        <f>IF(AND(ISNUMBER(K13),K13&gt;0),(L13-K13)/K13,"")</f>
        <v/>
      </c>
      <c r="P13" s="3" t="n"/>
      <c r="Q13" s="3" t="inlineStr">
        <is>
          <t>LOW</t>
        </is>
      </c>
      <c r="R13" s="6">
        <f>IF(ISNUMBER(G13),MAX(0,D13-Legend!$B$2*G13/7)*H13,0)</f>
        <v/>
      </c>
    </row>
    <row r="14">
      <c r="A14" s="3" t="inlineStr">
        <is>
          <t>APAC</t>
        </is>
      </c>
      <c r="B14" s="3" t="inlineStr">
        <is>
          <t>AP-DEV-009</t>
        </is>
      </c>
      <c r="C14" s="3" t="inlineStr">
        <is>
          <t>Devices</t>
        </is>
      </c>
      <c r="D14" s="3" t="n">
        <v>368</v>
      </c>
      <c r="E14" s="3" t="n">
        <v>52</v>
      </c>
      <c r="F14" s="3" t="n">
        <v>22</v>
      </c>
      <c r="G14" s="5" t="n">
        <v>86.75</v>
      </c>
      <c r="H14" s="15" t="n">
        <v>529.38</v>
      </c>
      <c r="I14" s="5">
        <f>IF(AND(ISNUMBER(G14),G14&gt;0),D14/(G14/7),"")</f>
        <v/>
      </c>
      <c r="J14" s="3">
        <f>IF(AND(ISNUMBER(E14),D14&lt;E14),1,0)</f>
        <v/>
      </c>
      <c r="K14" s="3" t="n">
        <v>671</v>
      </c>
      <c r="L14" s="3" t="n">
        <v>635</v>
      </c>
      <c r="M14" s="3" t="n">
        <v>70</v>
      </c>
      <c r="N14" s="4">
        <f>IF(AND(ISNUMBER(K14),K14&gt;0),M14/K14,"")</f>
        <v/>
      </c>
      <c r="O14" s="4">
        <f>IF(AND(ISNUMBER(K14),K14&gt;0),(L14-K14)/K14,"")</f>
        <v/>
      </c>
      <c r="P14" s="3" t="n"/>
      <c r="Q14" s="3" t="inlineStr">
        <is>
          <t>LOW</t>
        </is>
      </c>
      <c r="R14" s="6">
        <f>IF(ISNUMBER(G14),MAX(0,D14-Legend!$B$2*G14/7)*H14,0)</f>
        <v/>
      </c>
    </row>
    <row r="15">
      <c r="A15" s="3" t="inlineStr">
        <is>
          <t>APAC</t>
        </is>
      </c>
      <c r="B15" s="3" t="inlineStr">
        <is>
          <t>AP-DEV-013</t>
        </is>
      </c>
      <c r="C15" s="3" t="inlineStr">
        <is>
          <t>Devices</t>
        </is>
      </c>
      <c r="D15" s="3" t="n">
        <v>363</v>
      </c>
      <c r="E15" s="3" t="n">
        <v>45</v>
      </c>
      <c r="F15" s="3" t="n">
        <v>15</v>
      </c>
      <c r="G15" s="5" t="n">
        <v>141.25</v>
      </c>
      <c r="H15" s="15" t="n">
        <v>101.31</v>
      </c>
      <c r="I15" s="5">
        <f>IF(AND(ISNUMBER(G15),G15&gt;0),D15/(G15/7),"")</f>
        <v/>
      </c>
      <c r="J15" s="3">
        <f>IF(AND(ISNUMBER(E15),D15&lt;E15),1,0)</f>
        <v/>
      </c>
      <c r="K15" s="3" t="n">
        <v>923</v>
      </c>
      <c r="L15" s="3" t="n">
        <v>1060</v>
      </c>
      <c r="M15" s="3" t="n">
        <v>151</v>
      </c>
      <c r="N15" s="4">
        <f>IF(AND(ISNUMBER(K15),K15&gt;0),M15/K15,"")</f>
        <v/>
      </c>
      <c r="O15" s="4">
        <f>IF(AND(ISNUMBER(K15),K15&gt;0),(L15-K15)/K15,"")</f>
        <v/>
      </c>
      <c r="P15" s="3" t="n">
        <v>3</v>
      </c>
      <c r="Q15" s="17" t="inlineStr">
        <is>
          <t>MEDIUM</t>
        </is>
      </c>
      <c r="R15" s="6">
        <f>IF(ISNUMBER(G15),MAX(0,D15-Legend!$B$2*G15/7)*H15,0)</f>
        <v/>
      </c>
    </row>
    <row r="16">
      <c r="A16" s="3" t="inlineStr">
        <is>
          <t>APAC</t>
        </is>
      </c>
      <c r="B16" s="3" t="inlineStr">
        <is>
          <t>AP-DEV-017</t>
        </is>
      </c>
      <c r="C16" s="3" t="inlineStr">
        <is>
          <t>Devices</t>
        </is>
      </c>
      <c r="D16" s="3" t="n">
        <v>657</v>
      </c>
      <c r="E16" s="3" t="n">
        <v>78</v>
      </c>
      <c r="F16" s="3" t="n">
        <v>29</v>
      </c>
      <c r="G16" s="5" t="n">
        <v>134.5</v>
      </c>
      <c r="H16" s="15" t="n">
        <v>658.53</v>
      </c>
      <c r="I16" s="5">
        <f>IF(AND(ISNUMBER(G16),G16&gt;0),D16/(G16/7),"")</f>
        <v/>
      </c>
      <c r="J16" s="3">
        <f>IF(AND(ISNUMBER(E16),D16&lt;E16),1,0)</f>
        <v/>
      </c>
      <c r="K16" s="3" t="n">
        <v>980</v>
      </c>
      <c r="L16" s="3" t="n">
        <v>920</v>
      </c>
      <c r="M16" s="3" t="n">
        <v>122</v>
      </c>
      <c r="N16" s="4">
        <f>IF(AND(ISNUMBER(K16),K16&gt;0),M16/K16,"")</f>
        <v/>
      </c>
      <c r="O16" s="4">
        <f>IF(AND(ISNUMBER(K16),K16&gt;0),(L16-K16)/K16,"")</f>
        <v/>
      </c>
      <c r="P16" s="3" t="n"/>
      <c r="Q16" s="3" t="inlineStr">
        <is>
          <t>LOW</t>
        </is>
      </c>
      <c r="R16" s="6">
        <f>IF(ISNUMBER(G16),MAX(0,D16-Legend!$B$2*G16/7)*H16,0)</f>
        <v/>
      </c>
    </row>
    <row r="17">
      <c r="A17" s="3" t="inlineStr">
        <is>
          <t>APAC</t>
        </is>
      </c>
      <c r="B17" s="3" t="inlineStr">
        <is>
          <t>AP-DEV-021</t>
        </is>
      </c>
      <c r="C17" s="3" t="inlineStr">
        <is>
          <t>Devices</t>
        </is>
      </c>
      <c r="D17" s="3" t="n">
        <v>749</v>
      </c>
      <c r="E17" s="3" t="n">
        <v>58</v>
      </c>
      <c r="F17" s="3" t="n">
        <v>35</v>
      </c>
      <c r="G17" s="5" t="n">
        <v>112.75</v>
      </c>
      <c r="H17" s="15" t="n">
        <v>493.19</v>
      </c>
      <c r="I17" s="5">
        <f>IF(AND(ISNUMBER(G17),G17&gt;0),D17/(G17/7),"")</f>
        <v/>
      </c>
      <c r="J17" s="3">
        <f>IF(AND(ISNUMBER(E17),D17&lt;E17),1,0)</f>
        <v/>
      </c>
      <c r="K17" s="3" t="n">
        <v>851</v>
      </c>
      <c r="L17" s="3" t="n">
        <v>881</v>
      </c>
      <c r="M17" s="3" t="n">
        <v>120</v>
      </c>
      <c r="N17" s="4">
        <f>IF(AND(ISNUMBER(K17),K17&gt;0),M17/K17,"")</f>
        <v/>
      </c>
      <c r="O17" s="4">
        <f>IF(AND(ISNUMBER(K17),K17&gt;0),(L17-K17)/K17,"")</f>
        <v/>
      </c>
      <c r="P17" s="3" t="n"/>
      <c r="Q17" s="3" t="inlineStr">
        <is>
          <t>LOW</t>
        </is>
      </c>
      <c r="R17" s="6">
        <f>IF(ISNUMBER(G17),MAX(0,D17-Legend!$B$2*G17/7)*H17,0)</f>
        <v/>
      </c>
    </row>
    <row r="18">
      <c r="A18" s="3" t="inlineStr">
        <is>
          <t>APAC</t>
        </is>
      </c>
      <c r="B18" s="3" t="inlineStr">
        <is>
          <t>AP-DEV-025</t>
        </is>
      </c>
      <c r="C18" s="3" t="inlineStr">
        <is>
          <t>Devices</t>
        </is>
      </c>
      <c r="D18" s="3" t="n">
        <v>2380</v>
      </c>
      <c r="E18" s="3" t="n">
        <v>48</v>
      </c>
      <c r="F18" s="3" t="n">
        <v>34</v>
      </c>
      <c r="G18" s="5" t="n">
        <v>56.5</v>
      </c>
      <c r="H18" s="15" t="n">
        <v>244.96</v>
      </c>
      <c r="I18" s="5">
        <f>IF(AND(ISNUMBER(G18),G18&gt;0),D18/(G18/7),"")</f>
        <v/>
      </c>
      <c r="J18" s="3">
        <f>IF(AND(ISNUMBER(E18),D18&lt;E18),1,0)</f>
        <v/>
      </c>
      <c r="K18" s="3" t="n">
        <v>419</v>
      </c>
      <c r="L18" s="3" t="n">
        <v>497</v>
      </c>
      <c r="M18" s="3" t="n">
        <v>82</v>
      </c>
      <c r="N18" s="4">
        <f>IF(AND(ISNUMBER(K18),K18&gt;0),M18/K18,"")</f>
        <v/>
      </c>
      <c r="O18" s="4">
        <f>IF(AND(ISNUMBER(K18),K18&gt;0),(L18-K18)/K18,"")</f>
        <v/>
      </c>
      <c r="P18" s="3" t="n"/>
      <c r="Q18" s="3" t="inlineStr">
        <is>
          <t>LOW</t>
        </is>
      </c>
      <c r="R18" s="6">
        <f>IF(ISNUMBER(G18),MAX(0,D18-Legend!$B$2*G18/7)*H18,0)</f>
        <v/>
      </c>
    </row>
    <row r="19">
      <c r="A19" s="3" t="inlineStr">
        <is>
          <t>APAC</t>
        </is>
      </c>
      <c r="B19" s="3" t="inlineStr">
        <is>
          <t>AP-DEV-029</t>
        </is>
      </c>
      <c r="C19" s="3" t="inlineStr">
        <is>
          <t>Devices</t>
        </is>
      </c>
      <c r="D19" s="3" t="n">
        <v>751</v>
      </c>
      <c r="E19" s="3" t="n">
        <v>58</v>
      </c>
      <c r="F19" s="3" t="n">
        <v>15</v>
      </c>
      <c r="G19" s="5" t="n">
        <v>132.75</v>
      </c>
      <c r="H19" s="15" t="n">
        <v>67.34</v>
      </c>
      <c r="I19" s="5">
        <f>IF(AND(ISNUMBER(G19),G19&gt;0),D19/(G19/7),"")</f>
        <v/>
      </c>
      <c r="J19" s="3">
        <f>IF(AND(ISNUMBER(E19),D19&lt;E19),1,0)</f>
        <v/>
      </c>
      <c r="K19" s="3" t="n">
        <v>1206</v>
      </c>
      <c r="L19" s="3" t="n">
        <v>1149</v>
      </c>
      <c r="M19" s="3" t="n">
        <v>223</v>
      </c>
      <c r="N19" s="4">
        <f>IF(AND(ISNUMBER(K19),K19&gt;0),M19/K19,"")</f>
        <v/>
      </c>
      <c r="O19" s="4">
        <f>IF(AND(ISNUMBER(K19),K19&gt;0),(L19-K19)/K19,"")</f>
        <v/>
      </c>
      <c r="P19" s="3" t="n"/>
      <c r="Q19" s="3" t="inlineStr">
        <is>
          <t>LOW</t>
        </is>
      </c>
      <c r="R19" s="6">
        <f>IF(ISNUMBER(G19),MAX(0,D19-Legend!$B$2*G19/7)*H19,0)</f>
        <v/>
      </c>
    </row>
    <row r="20">
      <c r="A20" s="3" t="inlineStr">
        <is>
          <t>APAC</t>
        </is>
      </c>
      <c r="B20" s="3" t="inlineStr">
        <is>
          <t>AP-DEV-033</t>
        </is>
      </c>
      <c r="C20" s="3" t="inlineStr">
        <is>
          <t>Devices</t>
        </is>
      </c>
      <c r="D20" s="3" t="n">
        <v>274</v>
      </c>
      <c r="E20" s="3" t="n">
        <v>46</v>
      </c>
      <c r="F20" s="3" t="n">
        <v>35</v>
      </c>
      <c r="G20" s="5" t="n">
        <v>76.5</v>
      </c>
      <c r="H20" s="15" t="n">
        <v>546.52</v>
      </c>
      <c r="I20" s="5">
        <f>IF(AND(ISNUMBER(G20),G20&gt;0),D20/(G20/7),"")</f>
        <v/>
      </c>
      <c r="J20" s="3">
        <f>IF(AND(ISNUMBER(E20),D20&lt;E20),1,0)</f>
        <v/>
      </c>
      <c r="K20" s="3" t="n">
        <v>531</v>
      </c>
      <c r="L20" s="3" t="n">
        <v>521</v>
      </c>
      <c r="M20" s="3" t="n">
        <v>94</v>
      </c>
      <c r="N20" s="4">
        <f>IF(AND(ISNUMBER(K20),K20&gt;0),M20/K20,"")</f>
        <v/>
      </c>
      <c r="O20" s="4">
        <f>IF(AND(ISNUMBER(K20),K20&gt;0),(L20-K20)/K20,"")</f>
        <v/>
      </c>
      <c r="P20" s="3" t="n"/>
      <c r="Q20" s="3" t="inlineStr">
        <is>
          <t>LOW</t>
        </is>
      </c>
      <c r="R20" s="6">
        <f>IF(ISNUMBER(G20),MAX(0,D20-Legend!$B$2*G20/7)*H20,0)</f>
        <v/>
      </c>
    </row>
    <row r="21">
      <c r="A21" s="3" t="inlineStr">
        <is>
          <t>APAC</t>
        </is>
      </c>
      <c r="B21" s="3" t="inlineStr">
        <is>
          <t>AP-DEV-037</t>
        </is>
      </c>
      <c r="C21" s="3" t="inlineStr">
        <is>
          <t>Devices</t>
        </is>
      </c>
      <c r="D21" s="3" t="n">
        <v>221</v>
      </c>
      <c r="E21" s="3" t="n"/>
      <c r="F21" s="3" t="n">
        <v>20</v>
      </c>
      <c r="G21" s="5" t="n">
        <v>90.75</v>
      </c>
      <c r="H21" s="15" t="n">
        <v>832.8</v>
      </c>
      <c r="I21" s="5">
        <f>IF(AND(ISNUMBER(G21),G21&gt;0),D21/(G21/7),"")</f>
        <v/>
      </c>
      <c r="J21" s="3">
        <f>IF(AND(ISNUMBER(E21),D21&lt;E21),1,0)</f>
        <v/>
      </c>
      <c r="K21" s="3" t="n">
        <v>594</v>
      </c>
      <c r="L21" s="3" t="n">
        <v>634</v>
      </c>
      <c r="M21" s="3" t="n">
        <v>112</v>
      </c>
      <c r="N21" s="4">
        <f>IF(AND(ISNUMBER(K21),K21&gt;0),M21/K21,"")</f>
        <v/>
      </c>
      <c r="O21" s="4">
        <f>IF(AND(ISNUMBER(K21),K21&gt;0),(L21-K21)/K21,"")</f>
        <v/>
      </c>
      <c r="P21" s="3" t="n">
        <v>4</v>
      </c>
      <c r="Q21" s="17" t="inlineStr">
        <is>
          <t>MEDIUM</t>
        </is>
      </c>
      <c r="R21" s="6">
        <f>IF(ISNUMBER(G21),MAX(0,D21-Legend!$B$2*G21/7)*H21,0)</f>
        <v/>
      </c>
    </row>
    <row r="22">
      <c r="A22" s="3" t="inlineStr">
        <is>
          <t>APAC</t>
        </is>
      </c>
      <c r="B22" s="3" t="inlineStr">
        <is>
          <t>AP-DEV-041</t>
        </is>
      </c>
      <c r="C22" s="3" t="inlineStr">
        <is>
          <t>Devices</t>
        </is>
      </c>
      <c r="D22" s="3" t="n">
        <v>524</v>
      </c>
      <c r="E22" s="3" t="n">
        <v>111</v>
      </c>
      <c r="F22" s="3" t="n">
        <v>35</v>
      </c>
      <c r="G22" s="5" t="n">
        <v>144.75</v>
      </c>
      <c r="H22" s="15" t="n">
        <v>497.6</v>
      </c>
      <c r="I22" s="5">
        <f>IF(AND(ISNUMBER(G22),G22&gt;0),D22/(G22/7),"")</f>
        <v/>
      </c>
      <c r="J22" s="3">
        <f>IF(AND(ISNUMBER(E22),D22&lt;E22),1,0)</f>
        <v/>
      </c>
      <c r="K22" s="3" t="n">
        <v>1546</v>
      </c>
      <c r="L22" s="3" t="n">
        <v>1380</v>
      </c>
      <c r="M22" s="3" t="n">
        <v>220</v>
      </c>
      <c r="N22" s="4">
        <f>IF(AND(ISNUMBER(K22),K22&gt;0),M22/K22,"")</f>
        <v/>
      </c>
      <c r="O22" s="4">
        <f>IF(AND(ISNUMBER(K22),K22&gt;0),(L22-K22)/K22,"")</f>
        <v/>
      </c>
      <c r="P22" s="3" t="n">
        <v>3</v>
      </c>
      <c r="Q22" s="16" t="inlineStr">
        <is>
          <t>HIGH</t>
        </is>
      </c>
      <c r="R22" s="6">
        <f>IF(ISNUMBER(G22),MAX(0,D22-Legend!$B$2*G22/7)*H22,0)</f>
        <v/>
      </c>
    </row>
    <row r="23">
      <c r="A23" s="3" t="inlineStr">
        <is>
          <t>APAC</t>
        </is>
      </c>
      <c r="B23" s="3" t="inlineStr">
        <is>
          <t>AP-DEV-045</t>
        </is>
      </c>
      <c r="C23" s="3" t="inlineStr">
        <is>
          <t>Devices</t>
        </is>
      </c>
      <c r="D23" s="3" t="n">
        <v>1149</v>
      </c>
      <c r="E23" s="3" t="n">
        <v>70</v>
      </c>
      <c r="F23" s="3" t="n">
        <v>33</v>
      </c>
      <c r="G23" s="5" t="n">
        <v>125.25</v>
      </c>
      <c r="H23" s="15" t="n">
        <v>602.22</v>
      </c>
      <c r="I23" s="5">
        <f>IF(AND(ISNUMBER(G23),G23&gt;0),D23/(G23/7),"")</f>
        <v/>
      </c>
      <c r="J23" s="3">
        <f>IF(AND(ISNUMBER(E23),D23&lt;E23),1,0)</f>
        <v/>
      </c>
      <c r="K23" s="3" t="n">
        <v>738</v>
      </c>
      <c r="L23" s="3" t="n">
        <v>838</v>
      </c>
      <c r="M23" s="3" t="n">
        <v>190</v>
      </c>
      <c r="N23" s="4">
        <f>IF(AND(ISNUMBER(K23),K23&gt;0),M23/K23,"")</f>
        <v/>
      </c>
      <c r="O23" s="4">
        <f>IF(AND(ISNUMBER(K23),K23&gt;0),(L23-K23)/K23,"")</f>
        <v/>
      </c>
      <c r="P23" s="3" t="n"/>
      <c r="Q23" s="3" t="inlineStr">
        <is>
          <t>LOW</t>
        </is>
      </c>
      <c r="R23" s="6">
        <f>IF(ISNUMBER(G23),MAX(0,D23-Legend!$B$2*G23/7)*H23,0)</f>
        <v/>
      </c>
    </row>
    <row r="24">
      <c r="A24" s="3" t="inlineStr">
        <is>
          <t>APAC</t>
        </is>
      </c>
      <c r="B24" s="3" t="inlineStr">
        <is>
          <t>AP-NET-003</t>
        </is>
      </c>
      <c r="C24" s="3" t="inlineStr">
        <is>
          <t>Network</t>
        </is>
      </c>
      <c r="D24" s="3" t="n">
        <v>445</v>
      </c>
      <c r="E24" s="3" t="n">
        <v>87</v>
      </c>
      <c r="F24" s="3" t="n">
        <v>21</v>
      </c>
      <c r="G24" s="5" t="n">
        <v>191</v>
      </c>
      <c r="H24" s="15" t="n">
        <v>457.25</v>
      </c>
      <c r="I24" s="5">
        <f>IF(AND(ISNUMBER(G24),G24&gt;0),D24/(G24/7),"")</f>
        <v/>
      </c>
      <c r="J24" s="3">
        <f>IF(AND(ISNUMBER(E24),D24&lt;E24),1,0)</f>
        <v/>
      </c>
      <c r="K24" s="3" t="n">
        <v>1615</v>
      </c>
      <c r="L24" s="3" t="n">
        <v>1494</v>
      </c>
      <c r="M24" s="3" t="n">
        <v>231</v>
      </c>
      <c r="N24" s="4">
        <f>IF(AND(ISNUMBER(K24),K24&gt;0),M24/K24,"")</f>
        <v/>
      </c>
      <c r="O24" s="4">
        <f>IF(AND(ISNUMBER(K24),K24&gt;0),(L24-K24)/K24,"")</f>
        <v/>
      </c>
      <c r="P24" s="3" t="n">
        <v>4</v>
      </c>
      <c r="Q24" s="17" t="inlineStr">
        <is>
          <t>MEDIUM</t>
        </is>
      </c>
      <c r="R24" s="6">
        <f>IF(ISNUMBER(G24),MAX(0,D24-Legend!$B$2*G24/7)*H24,0)</f>
        <v/>
      </c>
    </row>
    <row r="25">
      <c r="A25" s="3" t="inlineStr">
        <is>
          <t>APAC</t>
        </is>
      </c>
      <c r="B25" s="3" t="inlineStr">
        <is>
          <t>AP-NET-007</t>
        </is>
      </c>
      <c r="C25" s="3" t="inlineStr">
        <is>
          <t>Network</t>
        </is>
      </c>
      <c r="D25" s="3" t="n">
        <v>234</v>
      </c>
      <c r="E25" s="3" t="n">
        <v>65</v>
      </c>
      <c r="F25" s="3" t="n">
        <v>28</v>
      </c>
      <c r="G25" s="5" t="n">
        <v>131</v>
      </c>
      <c r="H25" s="15" t="n">
        <v>105.76</v>
      </c>
      <c r="I25" s="5">
        <f>IF(AND(ISNUMBER(G25),G25&gt;0),D25/(G25/7),"")</f>
        <v/>
      </c>
      <c r="J25" s="3">
        <f>IF(AND(ISNUMBER(E25),D25&lt;E25),1,0)</f>
        <v/>
      </c>
      <c r="K25" s="3" t="n">
        <v>1042</v>
      </c>
      <c r="L25" s="3" t="n">
        <v>955</v>
      </c>
      <c r="M25" s="3" t="n">
        <v>163</v>
      </c>
      <c r="N25" s="4">
        <f>IF(AND(ISNUMBER(K25),K25&gt;0),M25/K25,"")</f>
        <v/>
      </c>
      <c r="O25" s="4">
        <f>IF(AND(ISNUMBER(K25),K25&gt;0),(L25-K25)/K25,"")</f>
        <v/>
      </c>
      <c r="P25" s="3" t="n">
        <v>1</v>
      </c>
      <c r="Q25" s="16" t="inlineStr">
        <is>
          <t>HIGH</t>
        </is>
      </c>
      <c r="R25" s="6">
        <f>IF(ISNUMBER(G25),MAX(0,D25-Legend!$B$2*G25/7)*H25,0)</f>
        <v/>
      </c>
    </row>
    <row r="26">
      <c r="A26" s="3" t="inlineStr">
        <is>
          <t>APAC</t>
        </is>
      </c>
      <c r="B26" s="3" t="inlineStr">
        <is>
          <t>AP-NET-011</t>
        </is>
      </c>
      <c r="C26" s="3" t="inlineStr">
        <is>
          <t>Network</t>
        </is>
      </c>
      <c r="D26" s="3" t="n">
        <v>889</v>
      </c>
      <c r="E26" s="3" t="n">
        <v>77</v>
      </c>
      <c r="F26" s="3" t="n">
        <v>14</v>
      </c>
      <c r="G26" s="5" t="n">
        <v>188</v>
      </c>
      <c r="H26" s="15" t="n">
        <v>241.53</v>
      </c>
      <c r="I26" s="5">
        <f>IF(AND(ISNUMBER(G26),G26&gt;0),D26/(G26/7),"")</f>
        <v/>
      </c>
      <c r="J26" s="3">
        <f>IF(AND(ISNUMBER(E26),D26&lt;E26),1,0)</f>
        <v/>
      </c>
      <c r="K26" s="3" t="n">
        <v>1395</v>
      </c>
      <c r="L26" s="3" t="n">
        <v>1469</v>
      </c>
      <c r="M26" s="3" t="n">
        <v>176</v>
      </c>
      <c r="N26" s="4">
        <f>IF(AND(ISNUMBER(K26),K26&gt;0),M26/K26,"")</f>
        <v/>
      </c>
      <c r="O26" s="4">
        <f>IF(AND(ISNUMBER(K26),K26&gt;0),(L26-K26)/K26,"")</f>
        <v/>
      </c>
      <c r="P26" s="3" t="n"/>
      <c r="Q26" s="3" t="inlineStr">
        <is>
          <t>LOW</t>
        </is>
      </c>
      <c r="R26" s="6">
        <f>IF(ISNUMBER(G26),MAX(0,D26-Legend!$B$2*G26/7)*H26,0)</f>
        <v/>
      </c>
    </row>
    <row r="27">
      <c r="A27" s="3" t="inlineStr">
        <is>
          <t>APAC</t>
        </is>
      </c>
      <c r="B27" s="3" t="inlineStr">
        <is>
          <t>AP-NET-015</t>
        </is>
      </c>
      <c r="C27" s="3" t="inlineStr">
        <is>
          <t>Network</t>
        </is>
      </c>
      <c r="D27" s="3" t="n">
        <v>278</v>
      </c>
      <c r="E27" s="3" t="n">
        <v>82</v>
      </c>
      <c r="F27" s="3" t="n">
        <v>28</v>
      </c>
      <c r="G27" s="5" t="n">
        <v>182.5</v>
      </c>
      <c r="H27" s="15" t="n">
        <v>380.31</v>
      </c>
      <c r="I27" s="5">
        <f>IF(AND(ISNUMBER(G27),G27&gt;0),D27/(G27/7),"")</f>
        <v/>
      </c>
      <c r="J27" s="3">
        <f>IF(AND(ISNUMBER(E27),D27&lt;E27),1,0)</f>
        <v/>
      </c>
      <c r="K27" s="3" t="n">
        <v>1590</v>
      </c>
      <c r="L27" s="3" t="n">
        <v>1616</v>
      </c>
      <c r="M27" s="3" t="n">
        <v>184</v>
      </c>
      <c r="N27" s="4">
        <f>IF(AND(ISNUMBER(K27),K27&gt;0),M27/K27,"")</f>
        <v/>
      </c>
      <c r="O27" s="4">
        <f>IF(AND(ISNUMBER(K27),K27&gt;0),(L27-K27)/K27,"")</f>
        <v/>
      </c>
      <c r="P27" s="3" t="n">
        <v>3</v>
      </c>
      <c r="Q27" s="16" t="inlineStr">
        <is>
          <t>HIGH</t>
        </is>
      </c>
      <c r="R27" s="6">
        <f>IF(ISNUMBER(G27),MAX(0,D27-Legend!$B$2*G27/7)*H27,0)</f>
        <v/>
      </c>
    </row>
    <row r="28">
      <c r="A28" s="3" t="inlineStr">
        <is>
          <t>APAC</t>
        </is>
      </c>
      <c r="B28" s="3" t="inlineStr">
        <is>
          <t>AP-NET-019</t>
        </is>
      </c>
      <c r="C28" s="3" t="inlineStr">
        <is>
          <t>Network</t>
        </is>
      </c>
      <c r="D28" s="3" t="n">
        <v>267</v>
      </c>
      <c r="E28" s="3" t="n">
        <v>119</v>
      </c>
      <c r="F28" s="3" t="n">
        <v>33</v>
      </c>
      <c r="G28" s="5" t="n">
        <v>218.5</v>
      </c>
      <c r="H28" s="15" t="n">
        <v>609.92</v>
      </c>
      <c r="I28" s="5">
        <f>IF(AND(ISNUMBER(G28),G28&gt;0),D28/(G28/7),"")</f>
        <v/>
      </c>
      <c r="J28" s="3">
        <f>IF(AND(ISNUMBER(E28),D28&lt;E28),1,0)</f>
        <v/>
      </c>
      <c r="K28" s="3" t="n">
        <v>1913</v>
      </c>
      <c r="L28" s="3" t="n">
        <v>1798</v>
      </c>
      <c r="M28" s="3" t="n">
        <v>297</v>
      </c>
      <c r="N28" s="4">
        <f>IF(AND(ISNUMBER(K28),K28&gt;0),M28/K28,"")</f>
        <v/>
      </c>
      <c r="O28" s="4">
        <f>IF(AND(ISNUMBER(K28),K28&gt;0),(L28-K28)/K28,"")</f>
        <v/>
      </c>
      <c r="P28" s="3" t="n">
        <v>1</v>
      </c>
      <c r="Q28" s="16" t="inlineStr">
        <is>
          <t>HIGH</t>
        </is>
      </c>
      <c r="R28" s="6">
        <f>IF(ISNUMBER(G28),MAX(0,D28-Legend!$B$2*G28/7)*H28,0)</f>
        <v/>
      </c>
    </row>
    <row r="29">
      <c r="A29" s="3" t="inlineStr">
        <is>
          <t>APAC</t>
        </is>
      </c>
      <c r="B29" s="3" t="inlineStr">
        <is>
          <t>AP-NET-027</t>
        </is>
      </c>
      <c r="C29" s="3" t="inlineStr">
        <is>
          <t>Network</t>
        </is>
      </c>
      <c r="D29" s="3" t="n">
        <v>1025</v>
      </c>
      <c r="E29" s="3" t="n">
        <v>92</v>
      </c>
      <c r="F29" s="3" t="n">
        <v>32</v>
      </c>
      <c r="G29" s="5" t="n">
        <v>109.5</v>
      </c>
      <c r="H29" s="15" t="n">
        <v>73.31</v>
      </c>
      <c r="I29" s="5">
        <f>IF(AND(ISNUMBER(G29),G29&gt;0),D29/(G29/7),"")</f>
        <v/>
      </c>
      <c r="J29" s="3">
        <f>IF(AND(ISNUMBER(E29),D29&lt;E29),1,0)</f>
        <v/>
      </c>
      <c r="K29" s="3" t="n">
        <v>951</v>
      </c>
      <c r="L29" s="3" t="n">
        <v>962</v>
      </c>
      <c r="M29" s="3" t="n">
        <v>87</v>
      </c>
      <c r="N29" s="4">
        <f>IF(AND(ISNUMBER(K29),K29&gt;0),M29/K29,"")</f>
        <v/>
      </c>
      <c r="O29" s="4">
        <f>IF(AND(ISNUMBER(K29),K29&gt;0),(L29-K29)/K29,"")</f>
        <v/>
      </c>
      <c r="P29" s="3" t="n"/>
      <c r="Q29" s="3" t="inlineStr">
        <is>
          <t>LOW</t>
        </is>
      </c>
      <c r="R29" s="6">
        <f>IF(ISNUMBER(G29),MAX(0,D29-Legend!$B$2*G29/7)*H29,0)</f>
        <v/>
      </c>
    </row>
    <row r="30">
      <c r="A30" s="3" t="inlineStr">
        <is>
          <t>APAC</t>
        </is>
      </c>
      <c r="B30" s="3" t="inlineStr">
        <is>
          <t>AP-NET-031</t>
        </is>
      </c>
      <c r="C30" s="3" t="inlineStr">
        <is>
          <t>Network</t>
        </is>
      </c>
      <c r="D30" s="3" t="n">
        <v>2323</v>
      </c>
      <c r="E30" s="3" t="n">
        <v>274</v>
      </c>
      <c r="F30" s="3" t="n">
        <v>30</v>
      </c>
      <c r="G30" s="5" t="n">
        <v>623.5</v>
      </c>
      <c r="H30" s="15" t="n">
        <v>122.23</v>
      </c>
      <c r="I30" s="5">
        <f>IF(AND(ISNUMBER(G30),G30&gt;0),D30/(G30/7),"")</f>
        <v/>
      </c>
      <c r="J30" s="3">
        <f>IF(AND(ISNUMBER(E30),D30&lt;E30),1,0)</f>
        <v/>
      </c>
      <c r="K30" s="3" t="n">
        <v>4162</v>
      </c>
      <c r="L30" s="3" t="n">
        <v>4250</v>
      </c>
      <c r="M30" s="3" t="n">
        <v>702</v>
      </c>
      <c r="N30" s="4">
        <f>IF(AND(ISNUMBER(K30),K30&gt;0),M30/K30,"")</f>
        <v/>
      </c>
      <c r="O30" s="4">
        <f>IF(AND(ISNUMBER(K30),K30&gt;0),(L30-K30)/K30,"")</f>
        <v/>
      </c>
      <c r="P30" s="3" t="n">
        <v>3</v>
      </c>
      <c r="Q30" s="16" t="inlineStr">
        <is>
          <t>HIGH</t>
        </is>
      </c>
      <c r="R30" s="6">
        <f>IF(ISNUMBER(G30),MAX(0,D30-Legend!$B$2*G30/7)*H30,0)</f>
        <v/>
      </c>
    </row>
    <row r="31">
      <c r="A31" s="3" t="inlineStr">
        <is>
          <t>APAC</t>
        </is>
      </c>
      <c r="B31" s="3" t="inlineStr">
        <is>
          <t>AP-NET-035</t>
        </is>
      </c>
      <c r="C31" s="3" t="inlineStr">
        <is>
          <t>Network</t>
        </is>
      </c>
      <c r="D31" s="3" t="n">
        <v>980</v>
      </c>
      <c r="E31" s="3" t="n">
        <v>96</v>
      </c>
      <c r="F31" s="3" t="n">
        <v>31</v>
      </c>
      <c r="G31" s="5" t="n">
        <v>153.5</v>
      </c>
      <c r="H31" s="15" t="n">
        <v>302.51</v>
      </c>
      <c r="I31" s="5">
        <f>IF(AND(ISNUMBER(G31),G31&gt;0),D31/(G31/7),"")</f>
        <v/>
      </c>
      <c r="J31" s="3">
        <f>IF(AND(ISNUMBER(E31),D31&lt;E31),1,0)</f>
        <v/>
      </c>
      <c r="K31" s="3" t="n">
        <v>1481</v>
      </c>
      <c r="L31" s="3" t="n">
        <v>1295</v>
      </c>
      <c r="M31" s="3" t="n">
        <v>242</v>
      </c>
      <c r="N31" s="4">
        <f>IF(AND(ISNUMBER(K31),K31&gt;0),M31/K31,"")</f>
        <v/>
      </c>
      <c r="O31" s="4">
        <f>IF(AND(ISNUMBER(K31),K31&gt;0),(L31-K31)/K31,"")</f>
        <v/>
      </c>
      <c r="P31" s="3" t="n"/>
      <c r="Q31" s="3" t="inlineStr">
        <is>
          <t>LOW</t>
        </is>
      </c>
      <c r="R31" s="6">
        <f>IF(ISNUMBER(G31),MAX(0,D31-Legend!$B$2*G31/7)*H31,0)</f>
        <v/>
      </c>
    </row>
    <row r="32">
      <c r="A32" s="3" t="inlineStr">
        <is>
          <t>APAC</t>
        </is>
      </c>
      <c r="B32" s="3" t="inlineStr">
        <is>
          <t>AP-NET-039</t>
        </is>
      </c>
      <c r="C32" s="3" t="inlineStr">
        <is>
          <t>Network</t>
        </is>
      </c>
      <c r="D32" s="3" t="n">
        <v>680</v>
      </c>
      <c r="E32" s="3" t="n">
        <v>33</v>
      </c>
      <c r="F32" s="3" t="n">
        <v>28</v>
      </c>
      <c r="G32" s="5" t="n">
        <v>53</v>
      </c>
      <c r="H32" s="15" t="n">
        <v>168.42</v>
      </c>
      <c r="I32" s="5">
        <f>IF(AND(ISNUMBER(G32),G32&gt;0),D32/(G32/7),"")</f>
        <v/>
      </c>
      <c r="J32" s="3">
        <f>IF(AND(ISNUMBER(E32),D32&lt;E32),1,0)</f>
        <v/>
      </c>
      <c r="K32" s="3" t="n">
        <v>452</v>
      </c>
      <c r="L32" s="3" t="n">
        <v>420</v>
      </c>
      <c r="M32" s="3" t="n">
        <v>64</v>
      </c>
      <c r="N32" s="4">
        <f>IF(AND(ISNUMBER(K32),K32&gt;0),M32/K32,"")</f>
        <v/>
      </c>
      <c r="O32" s="4">
        <f>IF(AND(ISNUMBER(K32),K32&gt;0),(L32-K32)/K32,"")</f>
        <v/>
      </c>
      <c r="P32" s="3" t="n"/>
      <c r="Q32" s="3" t="inlineStr">
        <is>
          <t>LOW</t>
        </is>
      </c>
      <c r="R32" s="6">
        <f>IF(ISNUMBER(G32),MAX(0,D32-Legend!$B$2*G32/7)*H32,0)</f>
        <v/>
      </c>
    </row>
    <row r="33">
      <c r="A33" s="3" t="inlineStr">
        <is>
          <t>APAC</t>
        </is>
      </c>
      <c r="B33" s="3" t="inlineStr">
        <is>
          <t>AP-NET-043</t>
        </is>
      </c>
      <c r="C33" s="3" t="inlineStr">
        <is>
          <t>Network</t>
        </is>
      </c>
      <c r="D33" s="3" t="n">
        <v>630</v>
      </c>
      <c r="E33" s="3" t="n">
        <v>36</v>
      </c>
      <c r="F33" s="3" t="n">
        <v>26</v>
      </c>
      <c r="G33" s="5" t="n">
        <v>52.25</v>
      </c>
      <c r="H33" s="15" t="n">
        <v>560.61</v>
      </c>
      <c r="I33" s="5">
        <f>IF(AND(ISNUMBER(G33),G33&gt;0),D33/(G33/7),"")</f>
        <v/>
      </c>
      <c r="J33" s="3">
        <f>IF(AND(ISNUMBER(E33),D33&lt;E33),1,0)</f>
        <v/>
      </c>
      <c r="K33" s="3" t="n">
        <v>489</v>
      </c>
      <c r="L33" s="3" t="n">
        <v>466</v>
      </c>
      <c r="M33" s="3" t="n">
        <v>53</v>
      </c>
      <c r="N33" s="4">
        <f>IF(AND(ISNUMBER(K33),K33&gt;0),M33/K33,"")</f>
        <v/>
      </c>
      <c r="O33" s="4">
        <f>IF(AND(ISNUMBER(K33),K33&gt;0),(L33-K33)/K33,"")</f>
        <v/>
      </c>
      <c r="P33" s="3" t="n"/>
      <c r="Q33" s="3" t="inlineStr">
        <is>
          <t>LOW</t>
        </is>
      </c>
      <c r="R33" s="6">
        <f>IF(ISNUMBER(G33),MAX(0,D33-Legend!$B$2*G33/7)*H33,0)</f>
        <v/>
      </c>
    </row>
    <row r="34">
      <c r="A34" s="3" t="inlineStr">
        <is>
          <t>APAC</t>
        </is>
      </c>
      <c r="B34" s="3" t="inlineStr">
        <is>
          <t>AP-STO-004</t>
        </is>
      </c>
      <c r="C34" s="3" t="inlineStr">
        <is>
          <t>Storage</t>
        </is>
      </c>
      <c r="D34" s="3" t="n">
        <v>1600</v>
      </c>
      <c r="E34" s="3" t="n">
        <v>92</v>
      </c>
      <c r="F34" s="3" t="n">
        <v>18</v>
      </c>
      <c r="G34" s="5" t="n">
        <v>179.25</v>
      </c>
      <c r="H34" s="15" t="n">
        <v>301.86</v>
      </c>
      <c r="I34" s="5">
        <f>IF(AND(ISNUMBER(G34),G34&gt;0),D34/(G34/7),"")</f>
        <v/>
      </c>
      <c r="J34" s="3">
        <f>IF(AND(ISNUMBER(E34),D34&lt;E34),1,0)</f>
        <v/>
      </c>
      <c r="K34" s="3" t="n">
        <v>1767</v>
      </c>
      <c r="L34" s="3" t="n">
        <v>1638</v>
      </c>
      <c r="M34" s="3" t="n">
        <v>235</v>
      </c>
      <c r="N34" s="4">
        <f>IF(AND(ISNUMBER(K34),K34&gt;0),M34/K34,"")</f>
        <v/>
      </c>
      <c r="O34" s="4">
        <f>IF(AND(ISNUMBER(K34),K34&gt;0),(L34-K34)/K34,"")</f>
        <v/>
      </c>
      <c r="P34" s="3" t="n"/>
      <c r="Q34" s="3" t="inlineStr">
        <is>
          <t>LOW</t>
        </is>
      </c>
      <c r="R34" s="6">
        <f>IF(ISNUMBER(G34),MAX(0,D34-Legend!$B$2*G34/7)*H34,0)</f>
        <v/>
      </c>
    </row>
    <row r="35">
      <c r="A35" s="3" t="inlineStr">
        <is>
          <t>APAC</t>
        </is>
      </c>
      <c r="B35" s="3" t="inlineStr">
        <is>
          <t>AP-STO-008</t>
        </is>
      </c>
      <c r="C35" s="3" t="inlineStr">
        <is>
          <t>Storage</t>
        </is>
      </c>
      <c r="D35" s="3" t="n">
        <v>241</v>
      </c>
      <c r="E35" s="3" t="n">
        <v>51</v>
      </c>
      <c r="F35" s="3" t="n">
        <v>33</v>
      </c>
      <c r="G35" s="5" t="n">
        <v>56.5</v>
      </c>
      <c r="H35" s="15" t="n">
        <v>135.83</v>
      </c>
      <c r="I35" s="5">
        <f>IF(AND(ISNUMBER(G35),G35&gt;0),D35/(G35/7),"")</f>
        <v/>
      </c>
      <c r="J35" s="3">
        <f>IF(AND(ISNUMBER(E35),D35&lt;E35),1,0)</f>
        <v/>
      </c>
      <c r="K35" s="3" t="n">
        <v>370</v>
      </c>
      <c r="L35" s="3" t="n">
        <v>435</v>
      </c>
      <c r="M35" s="3" t="n">
        <v>69</v>
      </c>
      <c r="N35" s="4">
        <f>IF(AND(ISNUMBER(K35),K35&gt;0),M35/K35,"")</f>
        <v/>
      </c>
      <c r="O35" s="4">
        <f>IF(AND(ISNUMBER(K35),K35&gt;0),(L35-K35)/K35,"")</f>
        <v/>
      </c>
      <c r="P35" s="3" t="n"/>
      <c r="Q35" s="3" t="inlineStr">
        <is>
          <t>LOW</t>
        </is>
      </c>
      <c r="R35" s="6">
        <f>IF(ISNUMBER(G35),MAX(0,D35-Legend!$B$2*G35/7)*H35,0)</f>
        <v/>
      </c>
    </row>
    <row r="36">
      <c r="A36" s="3" t="inlineStr">
        <is>
          <t>APAC</t>
        </is>
      </c>
      <c r="B36" s="3" t="inlineStr">
        <is>
          <t>AP-STO-012</t>
        </is>
      </c>
      <c r="C36" s="3" t="inlineStr">
        <is>
          <t>Storage</t>
        </is>
      </c>
      <c r="D36" s="3" t="n">
        <v>753</v>
      </c>
      <c r="E36" s="3" t="n"/>
      <c r="F36" s="3" t="n">
        <v>15</v>
      </c>
      <c r="G36" s="5" t="n">
        <v>159.75</v>
      </c>
      <c r="H36" s="15" t="n">
        <v>679.67</v>
      </c>
      <c r="I36" s="5">
        <f>IF(AND(ISNUMBER(G36),G36&gt;0),D36/(G36/7),"")</f>
        <v/>
      </c>
      <c r="J36" s="3">
        <f>IF(AND(ISNUMBER(E36),D36&lt;E36),1,0)</f>
        <v/>
      </c>
      <c r="K36" s="3" t="n">
        <v>1243</v>
      </c>
      <c r="L36" s="3" t="n">
        <v>1197</v>
      </c>
      <c r="M36" s="3" t="n">
        <v>176</v>
      </c>
      <c r="N36" s="4">
        <f>IF(AND(ISNUMBER(K36),K36&gt;0),M36/K36,"")</f>
        <v/>
      </c>
      <c r="O36" s="4">
        <f>IF(AND(ISNUMBER(K36),K36&gt;0),(L36-K36)/K36,"")</f>
        <v/>
      </c>
      <c r="P36" s="3" t="n"/>
      <c r="Q36" s="3" t="inlineStr">
        <is>
          <t>LOW</t>
        </is>
      </c>
      <c r="R36" s="6">
        <f>IF(ISNUMBER(G36),MAX(0,D36-Legend!$B$2*G36/7)*H36,0)</f>
        <v/>
      </c>
    </row>
    <row r="37">
      <c r="A37" s="3" t="inlineStr">
        <is>
          <t>APAC</t>
        </is>
      </c>
      <c r="B37" s="3" t="inlineStr">
        <is>
          <t>AP-STO-016</t>
        </is>
      </c>
      <c r="C37" s="3" t="inlineStr">
        <is>
          <t>Storage</t>
        </is>
      </c>
      <c r="D37" s="3" t="n">
        <v>892</v>
      </c>
      <c r="E37" s="3" t="n">
        <v>25</v>
      </c>
      <c r="F37" s="3" t="n">
        <v>17</v>
      </c>
      <c r="G37" s="5" t="n">
        <v>37</v>
      </c>
      <c r="H37" s="15" t="n">
        <v>820.9299999999999</v>
      </c>
      <c r="I37" s="5">
        <f>IF(AND(ISNUMBER(G37),G37&gt;0),D37/(G37/7),"")</f>
        <v/>
      </c>
      <c r="J37" s="3">
        <f>IF(AND(ISNUMBER(E37),D37&lt;E37),1,0)</f>
        <v/>
      </c>
      <c r="K37" s="3" t="n">
        <v>337</v>
      </c>
      <c r="L37" s="3" t="n">
        <v>304</v>
      </c>
      <c r="M37" s="3" t="n">
        <v>79</v>
      </c>
      <c r="N37" s="4">
        <f>IF(AND(ISNUMBER(K37),K37&gt;0),M37/K37,"")</f>
        <v/>
      </c>
      <c r="O37" s="4">
        <f>IF(AND(ISNUMBER(K37),K37&gt;0),(L37-K37)/K37,"")</f>
        <v/>
      </c>
      <c r="P37" s="3" t="n"/>
      <c r="Q37" s="3" t="inlineStr">
        <is>
          <t>LOW</t>
        </is>
      </c>
      <c r="R37" s="6">
        <f>IF(ISNUMBER(G37),MAX(0,D37-Legend!$B$2*G37/7)*H37,0)</f>
        <v/>
      </c>
    </row>
    <row r="38">
      <c r="A38" s="3" t="inlineStr">
        <is>
          <t>APAC</t>
        </is>
      </c>
      <c r="B38" s="3" t="inlineStr">
        <is>
          <t>AP-STO-020</t>
        </is>
      </c>
      <c r="C38" s="3" t="inlineStr">
        <is>
          <t>Storage</t>
        </is>
      </c>
      <c r="D38" s="3" t="n">
        <v>351</v>
      </c>
      <c r="E38" s="3" t="n">
        <v>53</v>
      </c>
      <c r="F38" s="3" t="n">
        <v>24</v>
      </c>
      <c r="G38" s="5" t="n">
        <v>129</v>
      </c>
      <c r="H38" s="15" t="n">
        <v>613.64</v>
      </c>
      <c r="I38" s="5">
        <f>IF(AND(ISNUMBER(G38),G38&gt;0),D38/(G38/7),"")</f>
        <v/>
      </c>
      <c r="J38" s="3">
        <f>IF(AND(ISNUMBER(E38),D38&lt;E38),1,0)</f>
        <v/>
      </c>
      <c r="K38" s="3" t="n">
        <v>810</v>
      </c>
      <c r="L38" s="3" t="n">
        <v>935</v>
      </c>
      <c r="M38" s="3" t="n">
        <v>193</v>
      </c>
      <c r="N38" s="4">
        <f>IF(AND(ISNUMBER(K38),K38&gt;0),M38/K38,"")</f>
        <v/>
      </c>
      <c r="O38" s="4">
        <f>IF(AND(ISNUMBER(K38),K38&gt;0),(L38-K38)/K38,"")</f>
        <v/>
      </c>
      <c r="P38" s="3" t="n"/>
      <c r="Q38" s="3" t="inlineStr">
        <is>
          <t>LOW</t>
        </is>
      </c>
      <c r="R38" s="6">
        <f>IF(ISNUMBER(G38),MAX(0,D38-Legend!$B$2*G38/7)*H38,0)</f>
        <v/>
      </c>
    </row>
    <row r="39">
      <c r="A39" s="3" t="inlineStr">
        <is>
          <t>APAC</t>
        </is>
      </c>
      <c r="B39" s="3" t="inlineStr">
        <is>
          <t>AP-STO-024</t>
        </is>
      </c>
      <c r="C39" s="3" t="inlineStr">
        <is>
          <t>Storage</t>
        </is>
      </c>
      <c r="D39" s="3" t="n">
        <v>576</v>
      </c>
      <c r="E39" s="3" t="n">
        <v>53</v>
      </c>
      <c r="F39" s="3" t="n">
        <v>28</v>
      </c>
      <c r="G39" s="5" t="n">
        <v>114.25</v>
      </c>
      <c r="H39" s="15" t="n">
        <v>749.3</v>
      </c>
      <c r="I39" s="5">
        <f>IF(AND(ISNUMBER(G39),G39&gt;0),D39/(G39/7),"")</f>
        <v/>
      </c>
      <c r="J39" s="3">
        <f>IF(AND(ISNUMBER(E39),D39&lt;E39),1,0)</f>
        <v/>
      </c>
      <c r="K39" s="3" t="n">
        <v>759</v>
      </c>
      <c r="L39" s="3" t="n">
        <v>826</v>
      </c>
      <c r="M39" s="3" t="n">
        <v>101</v>
      </c>
      <c r="N39" s="4">
        <f>IF(AND(ISNUMBER(K39),K39&gt;0),M39/K39,"")</f>
        <v/>
      </c>
      <c r="O39" s="4">
        <f>IF(AND(ISNUMBER(K39),K39&gt;0),(L39-K39)/K39,"")</f>
        <v/>
      </c>
      <c r="P39" s="3" t="n"/>
      <c r="Q39" s="3" t="inlineStr">
        <is>
          <t>LOW</t>
        </is>
      </c>
      <c r="R39" s="6">
        <f>IF(ISNUMBER(G39),MAX(0,D39-Legend!$B$2*G39/7)*H39,0)</f>
        <v/>
      </c>
    </row>
    <row r="40">
      <c r="A40" s="3" t="inlineStr">
        <is>
          <t>APAC</t>
        </is>
      </c>
      <c r="B40" s="3" t="inlineStr">
        <is>
          <t>AP-STO-028</t>
        </is>
      </c>
      <c r="C40" s="3" t="inlineStr">
        <is>
          <t>Storage</t>
        </is>
      </c>
      <c r="D40" s="3" t="n">
        <v>499</v>
      </c>
      <c r="E40" s="3" t="n">
        <v>66</v>
      </c>
      <c r="F40" s="3" t="n">
        <v>21</v>
      </c>
      <c r="G40" s="5" t="n">
        <v>84</v>
      </c>
      <c r="H40" s="15" t="n">
        <v>75.89</v>
      </c>
      <c r="I40" s="5">
        <f>IF(AND(ISNUMBER(G40),G40&gt;0),D40/(G40/7),"")</f>
        <v/>
      </c>
      <c r="J40" s="3">
        <f>IF(AND(ISNUMBER(E40),D40&lt;E40),1,0)</f>
        <v/>
      </c>
      <c r="K40" s="3" t="n">
        <v>711</v>
      </c>
      <c r="L40" s="3" t="n">
        <v>764</v>
      </c>
      <c r="M40" s="3" t="n">
        <v>237</v>
      </c>
      <c r="N40" s="4">
        <f>IF(AND(ISNUMBER(K40),K40&gt;0),M40/K40,"")</f>
        <v/>
      </c>
      <c r="O40" s="4">
        <f>IF(AND(ISNUMBER(K40),K40&gt;0),(L40-K40)/K40,"")</f>
        <v/>
      </c>
      <c r="P40" s="3" t="n"/>
      <c r="Q40" s="3" t="inlineStr">
        <is>
          <t>LOW</t>
        </is>
      </c>
      <c r="R40" s="6">
        <f>IF(ISNUMBER(G40),MAX(0,D40-Legend!$B$2*G40/7)*H40,0)</f>
        <v/>
      </c>
    </row>
    <row r="41">
      <c r="A41" s="3" t="inlineStr">
        <is>
          <t>APAC</t>
        </is>
      </c>
      <c r="B41" s="3" t="inlineStr">
        <is>
          <t>AP-STO-032</t>
        </is>
      </c>
      <c r="C41" s="3" t="inlineStr">
        <is>
          <t>Storage</t>
        </is>
      </c>
      <c r="D41" s="3" t="n">
        <v>253</v>
      </c>
      <c r="E41" s="3" t="n">
        <v>34</v>
      </c>
      <c r="F41" s="3" t="n">
        <v>16</v>
      </c>
      <c r="G41" s="5" t="n">
        <v>68.75</v>
      </c>
      <c r="H41" s="15" t="n">
        <v>675.08</v>
      </c>
      <c r="I41" s="5">
        <f>IF(AND(ISNUMBER(G41),G41&gt;0),D41/(G41/7),"")</f>
        <v/>
      </c>
      <c r="J41" s="3">
        <f>IF(AND(ISNUMBER(E41),D41&lt;E41),1,0)</f>
        <v/>
      </c>
      <c r="K41" s="3" t="n">
        <v>580</v>
      </c>
      <c r="L41" s="3" t="n">
        <v>579</v>
      </c>
      <c r="M41" s="3" t="n">
        <v>75</v>
      </c>
      <c r="N41" s="4">
        <f>IF(AND(ISNUMBER(K41),K41&gt;0),M41/K41,"")</f>
        <v/>
      </c>
      <c r="O41" s="4">
        <f>IF(AND(ISNUMBER(K41),K41&gt;0),(L41-K41)/K41,"")</f>
        <v/>
      </c>
      <c r="P41" s="3" t="n"/>
      <c r="Q41" s="3" t="inlineStr">
        <is>
          <t>LOW</t>
        </is>
      </c>
      <c r="R41" s="6">
        <f>IF(ISNUMBER(G41),MAX(0,D41-Legend!$B$2*G41/7)*H41,0)</f>
        <v/>
      </c>
    </row>
    <row r="42">
      <c r="A42" s="3" t="inlineStr">
        <is>
          <t>APAC</t>
        </is>
      </c>
      <c r="B42" s="3" t="inlineStr">
        <is>
          <t>AP-STO-036</t>
        </is>
      </c>
      <c r="C42" s="3" t="inlineStr">
        <is>
          <t>Storage</t>
        </is>
      </c>
      <c r="D42" s="3" t="n">
        <v>2563</v>
      </c>
      <c r="E42" s="3" t="n">
        <v>135</v>
      </c>
      <c r="F42" s="3" t="n">
        <v>30</v>
      </c>
      <c r="G42" s="5" t="n">
        <v>257</v>
      </c>
      <c r="H42" s="15" t="n">
        <v>653.63</v>
      </c>
      <c r="I42" s="5">
        <f>IF(AND(ISNUMBER(G42),G42&gt;0),D42/(G42/7),"")</f>
        <v/>
      </c>
      <c r="J42" s="3">
        <f>IF(AND(ISNUMBER(E42),D42&lt;E42),1,0)</f>
        <v/>
      </c>
      <c r="K42" s="3" t="n">
        <v>1795</v>
      </c>
      <c r="L42" s="3" t="n">
        <v>1894</v>
      </c>
      <c r="M42" s="3" t="n">
        <v>251</v>
      </c>
      <c r="N42" s="4">
        <f>IF(AND(ISNUMBER(K42),K42&gt;0),M42/K42,"")</f>
        <v/>
      </c>
      <c r="O42" s="4">
        <f>IF(AND(ISNUMBER(K42),K42&gt;0),(L42-K42)/K42,"")</f>
        <v/>
      </c>
      <c r="P42" s="3" t="n"/>
      <c r="Q42" s="3" t="inlineStr">
        <is>
          <t>LOW</t>
        </is>
      </c>
      <c r="R42" s="6">
        <f>IF(ISNUMBER(G42),MAX(0,D42-Legend!$B$2*G42/7)*H42,0)</f>
        <v/>
      </c>
    </row>
    <row r="43">
      <c r="A43" s="3" t="inlineStr">
        <is>
          <t>APAC</t>
        </is>
      </c>
      <c r="B43" s="3" t="inlineStr">
        <is>
          <t>AP-STO-040</t>
        </is>
      </c>
      <c r="C43" s="3" t="inlineStr">
        <is>
          <t>Storage</t>
        </is>
      </c>
      <c r="D43" s="3" t="n">
        <v>1512</v>
      </c>
      <c r="E43" s="3" t="n">
        <v>95</v>
      </c>
      <c r="F43" s="3" t="n">
        <v>29</v>
      </c>
      <c r="G43" s="5" t="n">
        <v>102</v>
      </c>
      <c r="H43" s="15" t="n">
        <v>389.4</v>
      </c>
      <c r="I43" s="5">
        <f>IF(AND(ISNUMBER(G43),G43&gt;0),D43/(G43/7),"")</f>
        <v/>
      </c>
      <c r="J43" s="3">
        <f>IF(AND(ISNUMBER(E43),D43&lt;E43),1,0)</f>
        <v/>
      </c>
      <c r="K43" s="3" t="n">
        <v>897</v>
      </c>
      <c r="L43" s="3" t="n">
        <v>832</v>
      </c>
      <c r="M43" s="3" t="n">
        <v>103</v>
      </c>
      <c r="N43" s="4">
        <f>IF(AND(ISNUMBER(K43),K43&gt;0),M43/K43,"")</f>
        <v/>
      </c>
      <c r="O43" s="4">
        <f>IF(AND(ISNUMBER(K43),K43&gt;0),(L43-K43)/K43,"")</f>
        <v/>
      </c>
      <c r="P43" s="3" t="n"/>
      <c r="Q43" s="3" t="inlineStr">
        <is>
          <t>LOW</t>
        </is>
      </c>
      <c r="R43" s="6">
        <f>IF(ISNUMBER(G43),MAX(0,D43-Legend!$B$2*G43/7)*H43,0)</f>
        <v/>
      </c>
    </row>
    <row r="44">
      <c r="A44" s="3" t="inlineStr">
        <is>
          <t>APAC</t>
        </is>
      </c>
      <c r="B44" s="3" t="inlineStr">
        <is>
          <t>AP-STO-044</t>
        </is>
      </c>
      <c r="C44" s="3" t="inlineStr">
        <is>
          <t>Storage</t>
        </is>
      </c>
      <c r="D44" s="3" t="n">
        <v>74</v>
      </c>
      <c r="E44" s="3" t="n">
        <v>53</v>
      </c>
      <c r="F44" s="3" t="n">
        <v>16</v>
      </c>
      <c r="G44" s="5" t="n">
        <v>134.75</v>
      </c>
      <c r="H44" s="15" t="n">
        <v>778.16</v>
      </c>
      <c r="I44" s="5">
        <f>IF(AND(ISNUMBER(G44),G44&gt;0),D44/(G44/7),"")</f>
        <v/>
      </c>
      <c r="J44" s="3">
        <f>IF(AND(ISNUMBER(E44),D44&lt;E44),1,0)</f>
        <v/>
      </c>
      <c r="K44" s="3" t="n">
        <v>783</v>
      </c>
      <c r="L44" s="3" t="n">
        <v>897</v>
      </c>
      <c r="M44" s="3" t="n">
        <v>128</v>
      </c>
      <c r="N44" s="4">
        <f>IF(AND(ISNUMBER(K44),K44&gt;0),M44/K44,"")</f>
        <v/>
      </c>
      <c r="O44" s="4">
        <f>IF(AND(ISNUMBER(K44),K44&gt;0),(L44-K44)/K44,"")</f>
        <v/>
      </c>
      <c r="P44" s="3" t="n">
        <v>4</v>
      </c>
      <c r="Q44" s="17" t="inlineStr">
        <is>
          <t>MEDIUM</t>
        </is>
      </c>
      <c r="R44" s="6">
        <f>IF(ISNUMBER(G44),MAX(0,D44-Legend!$B$2*G44/7)*H44,0)</f>
        <v/>
      </c>
    </row>
    <row r="45">
      <c r="A45" s="3" t="inlineStr">
        <is>
          <t>India</t>
        </is>
      </c>
      <c r="B45" s="3" t="inlineStr">
        <is>
          <t>IN-ACC-002</t>
        </is>
      </c>
      <c r="C45" s="3" t="inlineStr">
        <is>
          <t>Accessories</t>
        </is>
      </c>
      <c r="D45" s="3" t="n">
        <v>238</v>
      </c>
      <c r="E45" s="3" t="n">
        <v>37</v>
      </c>
      <c r="F45" s="3" t="n">
        <v>13</v>
      </c>
      <c r="G45" s="5" t="n">
        <v>99</v>
      </c>
      <c r="H45" s="15" t="n">
        <v>711.03</v>
      </c>
      <c r="I45" s="5">
        <f>IF(AND(ISNUMBER(G45),G45&gt;0),D45/(G45/7),"")</f>
        <v/>
      </c>
      <c r="J45" s="3">
        <f>IF(AND(ISNUMBER(E45),D45&lt;E45),1,0)</f>
        <v/>
      </c>
      <c r="K45" s="3" t="n">
        <v>758</v>
      </c>
      <c r="L45" s="3" t="n">
        <v>721</v>
      </c>
      <c r="M45" s="3" t="n">
        <v>69</v>
      </c>
      <c r="N45" s="4">
        <f>IF(AND(ISNUMBER(K45),K45&gt;0),M45/K45,"")</f>
        <v/>
      </c>
      <c r="O45" s="4">
        <f>IF(AND(ISNUMBER(K45),K45&gt;0),(L45-K45)/K45,"")</f>
        <v/>
      </c>
      <c r="P45" s="3" t="n"/>
      <c r="Q45" s="3" t="inlineStr">
        <is>
          <t>LOW</t>
        </is>
      </c>
      <c r="R45" s="6">
        <f>IF(ISNUMBER(G45),MAX(0,D45-Legend!$B$2*G45/7)*H45,0)</f>
        <v/>
      </c>
    </row>
    <row r="46">
      <c r="A46" s="3" t="inlineStr">
        <is>
          <t>India</t>
        </is>
      </c>
      <c r="B46" s="3" t="inlineStr">
        <is>
          <t>IN-ACC-006</t>
        </is>
      </c>
      <c r="C46" s="3" t="inlineStr">
        <is>
          <t>Accessories</t>
        </is>
      </c>
      <c r="D46" s="3" t="n">
        <v>830</v>
      </c>
      <c r="E46" s="3" t="n">
        <v>61</v>
      </c>
      <c r="F46" s="3" t="n">
        <v>28</v>
      </c>
      <c r="G46" s="5" t="n">
        <v>94.25</v>
      </c>
      <c r="H46" s="15" t="n">
        <v>109.71</v>
      </c>
      <c r="I46" s="5">
        <f>IF(AND(ISNUMBER(G46),G46&gt;0),D46/(G46/7),"")</f>
        <v/>
      </c>
      <c r="J46" s="3">
        <f>IF(AND(ISNUMBER(E46),D46&lt;E46),1,0)</f>
        <v/>
      </c>
      <c r="K46" s="3" t="n">
        <v>755</v>
      </c>
      <c r="L46" s="3" t="n">
        <v>825</v>
      </c>
      <c r="M46" s="3" t="n">
        <v>104</v>
      </c>
      <c r="N46" s="4">
        <f>IF(AND(ISNUMBER(K46),K46&gt;0),M46/K46,"")</f>
        <v/>
      </c>
      <c r="O46" s="4">
        <f>IF(AND(ISNUMBER(K46),K46&gt;0),(L46-K46)/K46,"")</f>
        <v/>
      </c>
      <c r="P46" s="3" t="n"/>
      <c r="Q46" s="3" t="inlineStr">
        <is>
          <t>LOW</t>
        </is>
      </c>
      <c r="R46" s="6">
        <f>IF(ISNUMBER(G46),MAX(0,D46-Legend!$B$2*G46/7)*H46,0)</f>
        <v/>
      </c>
    </row>
    <row r="47">
      <c r="A47" s="3" t="inlineStr">
        <is>
          <t>India</t>
        </is>
      </c>
      <c r="B47" s="3" t="inlineStr">
        <is>
          <t>IN-ACC-010</t>
        </is>
      </c>
      <c r="C47" s="3" t="inlineStr">
        <is>
          <t>Accessories</t>
        </is>
      </c>
      <c r="D47" s="3" t="n">
        <v>279</v>
      </c>
      <c r="E47" s="3" t="n">
        <v>34</v>
      </c>
      <c r="F47" s="3" t="n">
        <v>27</v>
      </c>
      <c r="G47" s="5" t="n">
        <v>43.5</v>
      </c>
      <c r="H47" s="15" t="n">
        <v>717.78</v>
      </c>
      <c r="I47" s="5">
        <f>IF(AND(ISNUMBER(G47),G47&gt;0),D47/(G47/7),"")</f>
        <v/>
      </c>
      <c r="J47" s="3">
        <f>IF(AND(ISNUMBER(E47),D47&lt;E47),1,0)</f>
        <v/>
      </c>
      <c r="K47" s="3" t="n">
        <v>381</v>
      </c>
      <c r="L47" s="3" t="n">
        <v>377</v>
      </c>
      <c r="M47" s="3" t="n">
        <v>64</v>
      </c>
      <c r="N47" s="4">
        <f>IF(AND(ISNUMBER(K47),K47&gt;0),M47/K47,"")</f>
        <v/>
      </c>
      <c r="O47" s="4">
        <f>IF(AND(ISNUMBER(K47),K47&gt;0),(L47-K47)/K47,"")</f>
        <v/>
      </c>
      <c r="P47" s="3" t="n"/>
      <c r="Q47" s="3" t="inlineStr">
        <is>
          <t>LOW</t>
        </is>
      </c>
      <c r="R47" s="6">
        <f>IF(ISNUMBER(G47),MAX(0,D47-Legend!$B$2*G47/7)*H47,0)</f>
        <v/>
      </c>
    </row>
    <row r="48">
      <c r="A48" s="3" t="inlineStr">
        <is>
          <t>India</t>
        </is>
      </c>
      <c r="B48" s="3" t="inlineStr">
        <is>
          <t>IN-ACC-014</t>
        </is>
      </c>
      <c r="C48" s="3" t="inlineStr">
        <is>
          <t>Accessories</t>
        </is>
      </c>
      <c r="D48" s="3" t="n">
        <v>544</v>
      </c>
      <c r="E48" s="3" t="n">
        <v>52</v>
      </c>
      <c r="F48" s="3" t="n">
        <v>17</v>
      </c>
      <c r="G48" s="5" t="n">
        <v>85.75</v>
      </c>
      <c r="H48" s="15" t="n">
        <v>58.81</v>
      </c>
      <c r="I48" s="5">
        <f>IF(AND(ISNUMBER(G48),G48&gt;0),D48/(G48/7),"")</f>
        <v/>
      </c>
      <c r="J48" s="3">
        <f>IF(AND(ISNUMBER(E48),D48&lt;E48),1,0)</f>
        <v/>
      </c>
      <c r="K48" s="3" t="n">
        <v>799</v>
      </c>
      <c r="L48" s="3" t="n">
        <v>758</v>
      </c>
      <c r="M48" s="3" t="n">
        <v>131</v>
      </c>
      <c r="N48" s="4">
        <f>IF(AND(ISNUMBER(K48),K48&gt;0),M48/K48,"")</f>
        <v/>
      </c>
      <c r="O48" s="4">
        <f>IF(AND(ISNUMBER(K48),K48&gt;0),(L48-K48)/K48,"")</f>
        <v/>
      </c>
      <c r="P48" s="3" t="n"/>
      <c r="Q48" s="3" t="inlineStr">
        <is>
          <t>LOW</t>
        </is>
      </c>
      <c r="R48" s="6">
        <f>IF(ISNUMBER(G48),MAX(0,D48-Legend!$B$2*G48/7)*H48,0)</f>
        <v/>
      </c>
    </row>
    <row r="49">
      <c r="A49" s="3" t="inlineStr">
        <is>
          <t>India</t>
        </is>
      </c>
      <c r="B49" s="3" t="inlineStr">
        <is>
          <t>IN-ACC-018</t>
        </is>
      </c>
      <c r="C49" s="3" t="inlineStr">
        <is>
          <t>Accessories</t>
        </is>
      </c>
      <c r="D49" s="3" t="n">
        <v>854</v>
      </c>
      <c r="E49" s="3" t="n">
        <v>157</v>
      </c>
      <c r="F49" s="3" t="n">
        <v>18</v>
      </c>
      <c r="G49" s="5" t="n">
        <v>198</v>
      </c>
      <c r="H49" s="15" t="n">
        <v>700.08</v>
      </c>
      <c r="I49" s="5">
        <f>IF(AND(ISNUMBER(G49),G49&gt;0),D49/(G49/7),"")</f>
        <v/>
      </c>
      <c r="J49" s="3">
        <f>IF(AND(ISNUMBER(E49),D49&lt;E49),1,0)</f>
        <v/>
      </c>
      <c r="K49" s="3" t="n">
        <v>1896</v>
      </c>
      <c r="L49" s="3" t="n">
        <v>1825</v>
      </c>
      <c r="M49" s="3" t="n">
        <v>571</v>
      </c>
      <c r="N49" s="4">
        <f>IF(AND(ISNUMBER(K49),K49&gt;0),M49/K49,"")</f>
        <v/>
      </c>
      <c r="O49" s="4">
        <f>IF(AND(ISNUMBER(K49),K49&gt;0),(L49-K49)/K49,"")</f>
        <v/>
      </c>
      <c r="P49" s="3" t="n"/>
      <c r="Q49" s="3" t="inlineStr">
        <is>
          <t>LOW</t>
        </is>
      </c>
      <c r="R49" s="6">
        <f>IF(ISNUMBER(G49),MAX(0,D49-Legend!$B$2*G49/7)*H49,0)</f>
        <v/>
      </c>
    </row>
    <row r="50">
      <c r="A50" s="3" t="inlineStr">
        <is>
          <t>India</t>
        </is>
      </c>
      <c r="B50" s="3" t="inlineStr">
        <is>
          <t>IN-ACC-022</t>
        </is>
      </c>
      <c r="C50" s="3" t="inlineStr">
        <is>
          <t>Accessories</t>
        </is>
      </c>
      <c r="D50" s="3" t="n">
        <v>584</v>
      </c>
      <c r="E50" s="3" t="n">
        <v>55</v>
      </c>
      <c r="F50" s="3" t="n">
        <v>21</v>
      </c>
      <c r="G50" s="5" t="n">
        <v>67.75</v>
      </c>
      <c r="H50" s="15" t="n">
        <v>789.64</v>
      </c>
      <c r="I50" s="5">
        <f>IF(AND(ISNUMBER(G50),G50&gt;0),D50/(G50/7),"")</f>
        <v/>
      </c>
      <c r="J50" s="3">
        <f>IF(AND(ISNUMBER(E50),D50&lt;E50),1,0)</f>
        <v/>
      </c>
      <c r="K50" s="3" t="n">
        <v>577</v>
      </c>
      <c r="L50" s="3" t="n">
        <v>623</v>
      </c>
      <c r="M50" s="3" t="n">
        <v>82</v>
      </c>
      <c r="N50" s="4">
        <f>IF(AND(ISNUMBER(K50),K50&gt;0),M50/K50,"")</f>
        <v/>
      </c>
      <c r="O50" s="4">
        <f>IF(AND(ISNUMBER(K50),K50&gt;0),(L50-K50)/K50,"")</f>
        <v/>
      </c>
      <c r="P50" s="3" t="n"/>
      <c r="Q50" s="3" t="inlineStr">
        <is>
          <t>LOW</t>
        </is>
      </c>
      <c r="R50" s="6">
        <f>IF(ISNUMBER(G50),MAX(0,D50-Legend!$B$2*G50/7)*H50,0)</f>
        <v/>
      </c>
    </row>
    <row r="51">
      <c r="A51" s="3" t="inlineStr">
        <is>
          <t>India</t>
        </is>
      </c>
      <c r="B51" s="3" t="inlineStr">
        <is>
          <t>IN-ACC-026</t>
        </is>
      </c>
      <c r="C51" s="3" t="inlineStr">
        <is>
          <t>Accessories</t>
        </is>
      </c>
      <c r="D51" s="3" t="n">
        <v>1152</v>
      </c>
      <c r="E51" s="3" t="n">
        <v>44</v>
      </c>
      <c r="F51" s="3" t="n">
        <v>29</v>
      </c>
      <c r="G51" s="5" t="n">
        <v>80.75</v>
      </c>
      <c r="H51" s="15" t="n">
        <v>664.77</v>
      </c>
      <c r="I51" s="5">
        <f>IF(AND(ISNUMBER(G51),G51&gt;0),D51/(G51/7),"")</f>
        <v/>
      </c>
      <c r="J51" s="3">
        <f>IF(AND(ISNUMBER(E51),D51&lt;E51),1,0)</f>
        <v/>
      </c>
      <c r="K51" s="3" t="n">
        <v>616</v>
      </c>
      <c r="L51" s="3" t="n">
        <v>634</v>
      </c>
      <c r="M51" s="3" t="n">
        <v>78</v>
      </c>
      <c r="N51" s="4">
        <f>IF(AND(ISNUMBER(K51),K51&gt;0),M51/K51,"")</f>
        <v/>
      </c>
      <c r="O51" s="4">
        <f>IF(AND(ISNUMBER(K51),K51&gt;0),(L51-K51)/K51,"")</f>
        <v/>
      </c>
      <c r="P51" s="3" t="n"/>
      <c r="Q51" s="3" t="inlineStr">
        <is>
          <t>LOW</t>
        </is>
      </c>
      <c r="R51" s="6">
        <f>IF(ISNUMBER(G51),MAX(0,D51-Legend!$B$2*G51/7)*H51,0)</f>
        <v/>
      </c>
    </row>
    <row r="52">
      <c r="A52" s="3" t="inlineStr">
        <is>
          <t>India</t>
        </is>
      </c>
      <c r="B52" s="3" t="inlineStr">
        <is>
          <t>IN-ACC-030</t>
        </is>
      </c>
      <c r="C52" s="3" t="inlineStr">
        <is>
          <t>Accessories</t>
        </is>
      </c>
      <c r="D52" s="3" t="n">
        <v>952</v>
      </c>
      <c r="E52" s="3" t="n">
        <v>25</v>
      </c>
      <c r="F52" s="3" t="n">
        <v>10</v>
      </c>
      <c r="G52" s="5" t="n">
        <v>35.25</v>
      </c>
      <c r="H52" s="15" t="n">
        <v>370.47</v>
      </c>
      <c r="I52" s="5">
        <f>IF(AND(ISNUMBER(G52),G52&gt;0),D52/(G52/7),"")</f>
        <v/>
      </c>
      <c r="J52" s="3">
        <f>IF(AND(ISNUMBER(E52),D52&lt;E52),1,0)</f>
        <v/>
      </c>
      <c r="K52" s="3" t="n">
        <v>268</v>
      </c>
      <c r="L52" s="3" t="n">
        <v>275</v>
      </c>
      <c r="M52" s="3" t="n">
        <v>53</v>
      </c>
      <c r="N52" s="4">
        <f>IF(AND(ISNUMBER(K52),K52&gt;0),M52/K52,"")</f>
        <v/>
      </c>
      <c r="O52" s="4">
        <f>IF(AND(ISNUMBER(K52),K52&gt;0),(L52-K52)/K52,"")</f>
        <v/>
      </c>
      <c r="P52" s="3" t="n"/>
      <c r="Q52" s="3" t="inlineStr">
        <is>
          <t>LOW</t>
        </is>
      </c>
      <c r="R52" s="6">
        <f>IF(ISNUMBER(G52),MAX(0,D52-Legend!$B$2*G52/7)*H52,0)</f>
        <v/>
      </c>
    </row>
    <row r="53">
      <c r="A53" s="3" t="inlineStr">
        <is>
          <t>India</t>
        </is>
      </c>
      <c r="B53" s="3" t="inlineStr">
        <is>
          <t>IN-ACC-038</t>
        </is>
      </c>
      <c r="C53" s="3" t="inlineStr">
        <is>
          <t>Accessories</t>
        </is>
      </c>
      <c r="D53" s="3" t="n">
        <v>1574</v>
      </c>
      <c r="E53" s="3" t="n">
        <v>193</v>
      </c>
      <c r="F53" s="3" t="n">
        <v>29</v>
      </c>
      <c r="G53" s="5" t="n">
        <v>420.75</v>
      </c>
      <c r="H53" s="15" t="n">
        <v>290.11</v>
      </c>
      <c r="I53" s="5">
        <f>IF(AND(ISNUMBER(G53),G53&gt;0),D53/(G53/7),"")</f>
        <v/>
      </c>
      <c r="J53" s="3">
        <f>IF(AND(ISNUMBER(E53),D53&lt;E53),1,0)</f>
        <v/>
      </c>
      <c r="K53" s="3" t="n">
        <v>2941</v>
      </c>
      <c r="L53" s="3" t="n">
        <v>2958</v>
      </c>
      <c r="M53" s="3" t="n">
        <v>427</v>
      </c>
      <c r="N53" s="4">
        <f>IF(AND(ISNUMBER(K53),K53&gt;0),M53/K53,"")</f>
        <v/>
      </c>
      <c r="O53" s="4">
        <f>IF(AND(ISNUMBER(K53),K53&gt;0),(L53-K53)/K53,"")</f>
        <v/>
      </c>
      <c r="P53" s="3" t="n">
        <v>3</v>
      </c>
      <c r="Q53" s="16" t="inlineStr">
        <is>
          <t>HIGH</t>
        </is>
      </c>
      <c r="R53" s="6">
        <f>IF(ISNUMBER(G53),MAX(0,D53-Legend!$B$2*G53/7)*H53,0)</f>
        <v/>
      </c>
    </row>
    <row r="54">
      <c r="A54" s="3" t="inlineStr">
        <is>
          <t>India</t>
        </is>
      </c>
      <c r="B54" s="3" t="inlineStr">
        <is>
          <t>IN-DEV-001</t>
        </is>
      </c>
      <c r="C54" s="3" t="inlineStr">
        <is>
          <t>Devices</t>
        </is>
      </c>
      <c r="D54" s="3" t="n">
        <v>270</v>
      </c>
      <c r="E54" s="3" t="n">
        <v>57</v>
      </c>
      <c r="F54" s="3" t="n">
        <v>24</v>
      </c>
      <c r="G54" s="5" t="n">
        <v>92</v>
      </c>
      <c r="H54" s="15" t="n">
        <v>446.66</v>
      </c>
      <c r="I54" s="5">
        <f>IF(AND(ISNUMBER(G54),G54&gt;0),D54/(G54/7),"")</f>
        <v/>
      </c>
      <c r="J54" s="3">
        <f>IF(AND(ISNUMBER(E54),D54&lt;E54),1,0)</f>
        <v/>
      </c>
      <c r="K54" s="3" t="n">
        <v>667</v>
      </c>
      <c r="L54" s="3" t="n">
        <v>686</v>
      </c>
      <c r="M54" s="3" t="n">
        <v>69</v>
      </c>
      <c r="N54" s="4">
        <f>IF(AND(ISNUMBER(K54),K54&gt;0),M54/K54,"")</f>
        <v/>
      </c>
      <c r="O54" s="4">
        <f>IF(AND(ISNUMBER(K54),K54&gt;0),(L54-K54)/K54,"")</f>
        <v/>
      </c>
      <c r="P54" s="3" t="n"/>
      <c r="Q54" s="3" t="inlineStr">
        <is>
          <t>LOW</t>
        </is>
      </c>
      <c r="R54" s="6">
        <f>IF(ISNUMBER(G54),MAX(0,D54-Legend!$B$2*G54/7)*H54,0)</f>
        <v/>
      </c>
    </row>
    <row r="55">
      <c r="A55" s="3" t="inlineStr">
        <is>
          <t>India</t>
        </is>
      </c>
      <c r="B55" s="3" t="inlineStr">
        <is>
          <t>IN-DEV-005</t>
        </is>
      </c>
      <c r="C55" s="3" t="inlineStr">
        <is>
          <t>Devices</t>
        </is>
      </c>
      <c r="D55" s="3" t="n">
        <v>382</v>
      </c>
      <c r="E55" s="3" t="n">
        <v>47</v>
      </c>
      <c r="F55" s="3" t="n">
        <v>17</v>
      </c>
      <c r="G55" s="5" t="n">
        <v>73.5</v>
      </c>
      <c r="H55" s="15" t="n">
        <v>277.75</v>
      </c>
      <c r="I55" s="5">
        <f>IF(AND(ISNUMBER(G55),G55&gt;0),D55/(G55/7),"")</f>
        <v/>
      </c>
      <c r="J55" s="3">
        <f>IF(AND(ISNUMBER(E55),D55&lt;E55),1,0)</f>
        <v/>
      </c>
      <c r="K55" s="3" t="n">
        <v>514</v>
      </c>
      <c r="L55" s="3" t="n">
        <v>664</v>
      </c>
      <c r="M55" s="3" t="n">
        <v>150</v>
      </c>
      <c r="N55" s="4">
        <f>IF(AND(ISNUMBER(K55),K55&gt;0),M55/K55,"")</f>
        <v/>
      </c>
      <c r="O55" s="4">
        <f>IF(AND(ISNUMBER(K55),K55&gt;0),(L55-K55)/K55,"")</f>
        <v/>
      </c>
      <c r="P55" s="3" t="n"/>
      <c r="Q55" s="3" t="inlineStr">
        <is>
          <t>LOW</t>
        </is>
      </c>
      <c r="R55" s="6">
        <f>IF(ISNUMBER(G55),MAX(0,D55-Legend!$B$2*G55/7)*H55,0)</f>
        <v/>
      </c>
    </row>
    <row r="56">
      <c r="A56" s="3" t="inlineStr">
        <is>
          <t>India</t>
        </is>
      </c>
      <c r="B56" s="3" t="inlineStr">
        <is>
          <t>IN-DEV-009</t>
        </is>
      </c>
      <c r="C56" s="3" t="inlineStr">
        <is>
          <t>Devices</t>
        </is>
      </c>
      <c r="D56" s="3" t="n">
        <v>3823</v>
      </c>
      <c r="E56" s="3" t="n">
        <v>206</v>
      </c>
      <c r="F56" s="3" t="n">
        <v>26</v>
      </c>
      <c r="G56" s="5" t="n">
        <v>364</v>
      </c>
      <c r="H56" s="15" t="n">
        <v>394.18</v>
      </c>
      <c r="I56" s="5">
        <f>IF(AND(ISNUMBER(G56),G56&gt;0),D56/(G56/7),"")</f>
        <v/>
      </c>
      <c r="J56" s="3">
        <f>IF(AND(ISNUMBER(E56),D56&lt;E56),1,0)</f>
        <v/>
      </c>
      <c r="K56" s="3" t="n">
        <v>3085</v>
      </c>
      <c r="L56" s="3" t="n">
        <v>2662</v>
      </c>
      <c r="M56" s="3" t="n">
        <v>715</v>
      </c>
      <c r="N56" s="4">
        <f>IF(AND(ISNUMBER(K56),K56&gt;0),M56/K56,"")</f>
        <v/>
      </c>
      <c r="O56" s="4">
        <f>IF(AND(ISNUMBER(K56),K56&gt;0),(L56-K56)/K56,"")</f>
        <v/>
      </c>
      <c r="P56" s="3" t="n"/>
      <c r="Q56" s="3" t="inlineStr">
        <is>
          <t>LOW</t>
        </is>
      </c>
      <c r="R56" s="6">
        <f>IF(ISNUMBER(G56),MAX(0,D56-Legend!$B$2*G56/7)*H56,0)</f>
        <v/>
      </c>
    </row>
    <row r="57">
      <c r="A57" s="3" t="inlineStr">
        <is>
          <t>India</t>
        </is>
      </c>
      <c r="B57" s="3" t="inlineStr">
        <is>
          <t>IN-DEV-013</t>
        </is>
      </c>
      <c r="C57" s="3" t="inlineStr">
        <is>
          <t>Devices</t>
        </is>
      </c>
      <c r="D57" s="3" t="n">
        <v>1670</v>
      </c>
      <c r="E57" s="3" t="n">
        <v>254</v>
      </c>
      <c r="F57" s="3" t="n">
        <v>19</v>
      </c>
      <c r="G57" s="5" t="n">
        <v>569.25</v>
      </c>
      <c r="H57" s="15" t="n">
        <v>634.74</v>
      </c>
      <c r="I57" s="5">
        <f>IF(AND(ISNUMBER(G57),G57&gt;0),D57/(G57/7),"")</f>
        <v/>
      </c>
      <c r="J57" s="3">
        <f>IF(AND(ISNUMBER(E57),D57&lt;E57),1,0)</f>
        <v/>
      </c>
      <c r="K57" s="3" t="n">
        <v>4535</v>
      </c>
      <c r="L57" s="3" t="n">
        <v>4529</v>
      </c>
      <c r="M57" s="3" t="n">
        <v>820</v>
      </c>
      <c r="N57" s="4">
        <f>IF(AND(ISNUMBER(K57),K57&gt;0),M57/K57,"")</f>
        <v/>
      </c>
      <c r="O57" s="4">
        <f>IF(AND(ISNUMBER(K57),K57&gt;0),(L57-K57)/K57,"")</f>
        <v/>
      </c>
      <c r="P57" s="3" t="n">
        <v>4</v>
      </c>
      <c r="Q57" s="17" t="inlineStr">
        <is>
          <t>MEDIUM</t>
        </is>
      </c>
      <c r="R57" s="6">
        <f>IF(ISNUMBER(G57),MAX(0,D57-Legend!$B$2*G57/7)*H57,0)</f>
        <v/>
      </c>
    </row>
    <row r="58">
      <c r="A58" s="3" t="inlineStr">
        <is>
          <t>India</t>
        </is>
      </c>
      <c r="B58" s="3" t="inlineStr">
        <is>
          <t>IN-DEV-017</t>
        </is>
      </c>
      <c r="C58" s="3" t="inlineStr">
        <is>
          <t>Devices</t>
        </is>
      </c>
      <c r="D58" s="3" t="n">
        <v>76</v>
      </c>
      <c r="E58" s="3" t="n">
        <v>35</v>
      </c>
      <c r="F58" s="3" t="n">
        <v>12</v>
      </c>
      <c r="G58" s="5" t="n">
        <v>90</v>
      </c>
      <c r="H58" s="15" t="n">
        <v>338.27</v>
      </c>
      <c r="I58" s="5">
        <f>IF(AND(ISNUMBER(G58),G58&gt;0),D58/(G58/7),"")</f>
        <v/>
      </c>
      <c r="J58" s="3">
        <f>IF(AND(ISNUMBER(E58),D58&lt;E58),1,0)</f>
        <v/>
      </c>
      <c r="K58" s="3" t="n">
        <v>715</v>
      </c>
      <c r="L58" s="3" t="n">
        <v>696</v>
      </c>
      <c r="M58" s="3" t="n">
        <v>101</v>
      </c>
      <c r="N58" s="4">
        <f>IF(AND(ISNUMBER(K58),K58&gt;0),M58/K58,"")</f>
        <v/>
      </c>
      <c r="O58" s="4">
        <f>IF(AND(ISNUMBER(K58),K58&gt;0),(L58-K58)/K58,"")</f>
        <v/>
      </c>
      <c r="P58" s="3" t="n">
        <v>0</v>
      </c>
      <c r="Q58" s="16" t="inlineStr">
        <is>
          <t>HIGH</t>
        </is>
      </c>
      <c r="R58" s="6">
        <f>IF(ISNUMBER(G58),MAX(0,D58-Legend!$B$2*G58/7)*H58,0)</f>
        <v/>
      </c>
    </row>
    <row r="59">
      <c r="A59" s="3" t="inlineStr">
        <is>
          <t>India</t>
        </is>
      </c>
      <c r="B59" s="3" t="inlineStr">
        <is>
          <t>IN-DEV-021</t>
        </is>
      </c>
      <c r="C59" s="3" t="inlineStr">
        <is>
          <t>Devices</t>
        </is>
      </c>
      <c r="D59" s="3" t="n">
        <v>171</v>
      </c>
      <c r="E59" s="3" t="n">
        <v>54</v>
      </c>
      <c r="F59" s="3" t="n">
        <v>18</v>
      </c>
      <c r="G59" s="5" t="n">
        <v>131.25</v>
      </c>
      <c r="H59" s="15" t="n">
        <v>646.6900000000001</v>
      </c>
      <c r="I59" s="5">
        <f>IF(AND(ISNUMBER(G59),G59&gt;0),D59/(G59/7),"")</f>
        <v/>
      </c>
      <c r="J59" s="3">
        <f>IF(AND(ISNUMBER(E59),D59&lt;E59),1,0)</f>
        <v/>
      </c>
      <c r="K59" s="3" t="n">
        <v>955</v>
      </c>
      <c r="L59" s="3" t="n">
        <v>937</v>
      </c>
      <c r="M59" s="3" t="n">
        <v>124</v>
      </c>
      <c r="N59" s="4">
        <f>IF(AND(ISNUMBER(K59),K59&gt;0),M59/K59,"")</f>
        <v/>
      </c>
      <c r="O59" s="4">
        <f>IF(AND(ISNUMBER(K59),K59&gt;0),(L59-K59)/K59,"")</f>
        <v/>
      </c>
      <c r="P59" s="3" t="n"/>
      <c r="Q59" s="3" t="inlineStr">
        <is>
          <t>LOW</t>
        </is>
      </c>
      <c r="R59" s="6">
        <f>IF(ISNUMBER(G59),MAX(0,D59-Legend!$B$2*G59/7)*H59,0)</f>
        <v/>
      </c>
    </row>
    <row r="60">
      <c r="A60" s="3" t="inlineStr">
        <is>
          <t>India</t>
        </is>
      </c>
      <c r="B60" s="3" t="inlineStr">
        <is>
          <t>IN-DEV-025</t>
        </is>
      </c>
      <c r="C60" s="3" t="inlineStr">
        <is>
          <t>Devices</t>
        </is>
      </c>
      <c r="D60" s="3" t="n">
        <v>240</v>
      </c>
      <c r="E60" s="3" t="n">
        <v>53</v>
      </c>
      <c r="F60" s="3" t="n">
        <v>25</v>
      </c>
      <c r="G60" s="5" t="n">
        <v>47</v>
      </c>
      <c r="H60" s="15" t="n">
        <v>739.6799999999999</v>
      </c>
      <c r="I60" s="5">
        <f>IF(AND(ISNUMBER(G60),G60&gt;0),D60/(G60/7),"")</f>
        <v/>
      </c>
      <c r="J60" s="3">
        <f>IF(AND(ISNUMBER(E60),D60&lt;E60),1,0)</f>
        <v/>
      </c>
      <c r="K60" s="3" t="n">
        <v>455</v>
      </c>
      <c r="L60" s="3" t="n">
        <v>433</v>
      </c>
      <c r="M60" s="3" t="n">
        <v>72</v>
      </c>
      <c r="N60" s="4">
        <f>IF(AND(ISNUMBER(K60),K60&gt;0),M60/K60,"")</f>
        <v/>
      </c>
      <c r="O60" s="4">
        <f>IF(AND(ISNUMBER(K60),K60&gt;0),(L60-K60)/K60,"")</f>
        <v/>
      </c>
      <c r="P60" s="3" t="n"/>
      <c r="Q60" s="3" t="inlineStr">
        <is>
          <t>LOW</t>
        </is>
      </c>
      <c r="R60" s="6">
        <f>IF(ISNUMBER(G60),MAX(0,D60-Legend!$B$2*G60/7)*H60,0)</f>
        <v/>
      </c>
    </row>
    <row r="61">
      <c r="A61" s="3" t="inlineStr">
        <is>
          <t>India</t>
        </is>
      </c>
      <c r="B61" s="3" t="inlineStr">
        <is>
          <t>IN-DEV-029</t>
        </is>
      </c>
      <c r="C61" s="3" t="inlineStr">
        <is>
          <t>Devices</t>
        </is>
      </c>
      <c r="D61" s="3" t="n">
        <v>2558</v>
      </c>
      <c r="E61" s="3" t="n"/>
      <c r="F61" s="3" t="n">
        <v>18</v>
      </c>
      <c r="G61" s="5" t="n">
        <v>152.25</v>
      </c>
      <c r="H61" s="15" t="n">
        <v>753.1</v>
      </c>
      <c r="I61" s="5">
        <f>IF(AND(ISNUMBER(G61),G61&gt;0),D61/(G61/7),"")</f>
        <v/>
      </c>
      <c r="J61" s="3">
        <f>IF(AND(ISNUMBER(E61),D61&lt;E61),1,0)</f>
        <v/>
      </c>
      <c r="K61" s="3" t="n">
        <v>1353</v>
      </c>
      <c r="L61" s="3" t="n">
        <v>1174</v>
      </c>
      <c r="M61" s="3" t="n">
        <v>293</v>
      </c>
      <c r="N61" s="4">
        <f>IF(AND(ISNUMBER(K61),K61&gt;0),M61/K61,"")</f>
        <v/>
      </c>
      <c r="O61" s="4">
        <f>IF(AND(ISNUMBER(K61),K61&gt;0),(L61-K61)/K61,"")</f>
        <v/>
      </c>
      <c r="P61" s="3" t="n"/>
      <c r="Q61" s="3" t="inlineStr">
        <is>
          <t>LOW</t>
        </is>
      </c>
      <c r="R61" s="6">
        <f>IF(ISNUMBER(G61),MAX(0,D61-Legend!$B$2*G61/7)*H61,0)</f>
        <v/>
      </c>
    </row>
    <row r="62">
      <c r="A62" s="3" t="inlineStr">
        <is>
          <t>India</t>
        </is>
      </c>
      <c r="B62" s="3" t="inlineStr">
        <is>
          <t>IN-DEV-033</t>
        </is>
      </c>
      <c r="C62" s="3" t="inlineStr">
        <is>
          <t>Devices</t>
        </is>
      </c>
      <c r="D62" s="3" t="n">
        <v>189</v>
      </c>
      <c r="E62" s="3" t="n">
        <v>44</v>
      </c>
      <c r="F62" s="3" t="n">
        <v>27</v>
      </c>
      <c r="G62" s="5" t="n">
        <v>56.5</v>
      </c>
      <c r="H62" s="15" t="n">
        <v>568.13</v>
      </c>
      <c r="I62" s="5">
        <f>IF(AND(ISNUMBER(G62),G62&gt;0),D62/(G62/7),"")</f>
        <v/>
      </c>
      <c r="J62" s="3">
        <f>IF(AND(ISNUMBER(E62),D62&lt;E62),1,0)</f>
        <v/>
      </c>
      <c r="K62" s="3" t="n">
        <v>472</v>
      </c>
      <c r="L62" s="3" t="n">
        <v>483</v>
      </c>
      <c r="M62" s="3" t="n">
        <v>85</v>
      </c>
      <c r="N62" s="4">
        <f>IF(AND(ISNUMBER(K62),K62&gt;0),M62/K62,"")</f>
        <v/>
      </c>
      <c r="O62" s="4">
        <f>IF(AND(ISNUMBER(K62),K62&gt;0),(L62-K62)/K62,"")</f>
        <v/>
      </c>
      <c r="P62" s="3" t="n"/>
      <c r="Q62" s="3" t="inlineStr">
        <is>
          <t>LOW</t>
        </is>
      </c>
      <c r="R62" s="6">
        <f>IF(ISNUMBER(G62),MAX(0,D62-Legend!$B$2*G62/7)*H62,0)</f>
        <v/>
      </c>
    </row>
    <row r="63">
      <c r="A63" s="3" t="inlineStr">
        <is>
          <t>India</t>
        </is>
      </c>
      <c r="B63" s="3" t="inlineStr">
        <is>
          <t>IN-DEV-037</t>
        </is>
      </c>
      <c r="C63" s="3" t="inlineStr">
        <is>
          <t>Devices</t>
        </is>
      </c>
      <c r="D63" s="3" t="n">
        <v>545</v>
      </c>
      <c r="E63" s="3" t="n"/>
      <c r="F63" s="3" t="n">
        <v>15</v>
      </c>
      <c r="G63" s="5" t="n">
        <v>73.75</v>
      </c>
      <c r="H63" s="15" t="n">
        <v>48.86</v>
      </c>
      <c r="I63" s="5">
        <f>IF(AND(ISNUMBER(G63),G63&gt;0),D63/(G63/7),"")</f>
        <v/>
      </c>
      <c r="J63" s="3">
        <f>IF(AND(ISNUMBER(E63),D63&lt;E63),1,0)</f>
        <v/>
      </c>
      <c r="K63" s="3" t="n">
        <v>601</v>
      </c>
      <c r="L63" s="3" t="n">
        <v>584</v>
      </c>
      <c r="M63" s="3" t="n">
        <v>89</v>
      </c>
      <c r="N63" s="4">
        <f>IF(AND(ISNUMBER(K63),K63&gt;0),M63/K63,"")</f>
        <v/>
      </c>
      <c r="O63" s="4">
        <f>IF(AND(ISNUMBER(K63),K63&gt;0),(L63-K63)/K63,"")</f>
        <v/>
      </c>
      <c r="P63" s="3" t="n"/>
      <c r="Q63" s="3" t="inlineStr">
        <is>
          <t>LOW</t>
        </is>
      </c>
      <c r="R63" s="6">
        <f>IF(ISNUMBER(G63),MAX(0,D63-Legend!$B$2*G63/7)*H63,0)</f>
        <v/>
      </c>
    </row>
    <row r="64">
      <c r="A64" s="3" t="inlineStr">
        <is>
          <t>India</t>
        </is>
      </c>
      <c r="B64" s="3" t="inlineStr">
        <is>
          <t>IN-NET-003</t>
        </is>
      </c>
      <c r="C64" s="3" t="inlineStr">
        <is>
          <t>Network</t>
        </is>
      </c>
      <c r="D64" s="3" t="n">
        <v>308</v>
      </c>
      <c r="E64" s="3" t="n">
        <v>14</v>
      </c>
      <c r="F64" s="3" t="n">
        <v>10</v>
      </c>
      <c r="G64" s="5" t="n">
        <v>33.75</v>
      </c>
      <c r="H64" s="15" t="n">
        <v>293.16</v>
      </c>
      <c r="I64" s="5">
        <f>IF(AND(ISNUMBER(G64),G64&gt;0),D64/(G64/7),"")</f>
        <v/>
      </c>
      <c r="J64" s="3">
        <f>IF(AND(ISNUMBER(E64),D64&lt;E64),1,0)</f>
        <v/>
      </c>
      <c r="K64" s="3" t="n">
        <v>251</v>
      </c>
      <c r="L64" s="3" t="n">
        <v>264</v>
      </c>
      <c r="M64" s="3" t="n">
        <v>51</v>
      </c>
      <c r="N64" s="4">
        <f>IF(AND(ISNUMBER(K64),K64&gt;0),M64/K64,"")</f>
        <v/>
      </c>
      <c r="O64" s="4">
        <f>IF(AND(ISNUMBER(K64),K64&gt;0),(L64-K64)/K64,"")</f>
        <v/>
      </c>
      <c r="P64" s="3" t="n"/>
      <c r="Q64" s="3" t="inlineStr">
        <is>
          <t>LOW</t>
        </is>
      </c>
      <c r="R64" s="6">
        <f>IF(ISNUMBER(G64),MAX(0,D64-Legend!$B$2*G64/7)*H64,0)</f>
        <v/>
      </c>
    </row>
    <row r="65">
      <c r="A65" s="3" t="inlineStr">
        <is>
          <t>India</t>
        </is>
      </c>
      <c r="B65" s="3" t="inlineStr">
        <is>
          <t>IN-NET-007</t>
        </is>
      </c>
      <c r="C65" s="3" t="inlineStr">
        <is>
          <t>Network</t>
        </is>
      </c>
      <c r="D65" s="3" t="n">
        <v>285</v>
      </c>
      <c r="E65" s="3" t="n">
        <v>115</v>
      </c>
      <c r="F65" s="3" t="n">
        <v>25</v>
      </c>
      <c r="G65" s="5" t="n">
        <v>95.25</v>
      </c>
      <c r="H65" s="15" t="n">
        <v>591.23</v>
      </c>
      <c r="I65" s="5">
        <f>IF(AND(ISNUMBER(G65),G65&gt;0),D65/(G65/7),"")</f>
        <v/>
      </c>
      <c r="J65" s="3">
        <f>IF(AND(ISNUMBER(E65),D65&lt;E65),1,0)</f>
        <v/>
      </c>
      <c r="K65" s="3" t="n">
        <v>999</v>
      </c>
      <c r="L65" s="3" t="n">
        <v>964</v>
      </c>
      <c r="M65" s="3" t="n">
        <v>195</v>
      </c>
      <c r="N65" s="4">
        <f>IF(AND(ISNUMBER(K65),K65&gt;0),M65/K65,"")</f>
        <v/>
      </c>
      <c r="O65" s="4">
        <f>IF(AND(ISNUMBER(K65),K65&gt;0),(L65-K65)/K65,"")</f>
        <v/>
      </c>
      <c r="P65" s="3" t="n"/>
      <c r="Q65" s="3" t="inlineStr">
        <is>
          <t>LOW</t>
        </is>
      </c>
      <c r="R65" s="6">
        <f>IF(ISNUMBER(G65),MAX(0,D65-Legend!$B$2*G65/7)*H65,0)</f>
        <v/>
      </c>
    </row>
    <row r="66">
      <c r="A66" s="3" t="inlineStr">
        <is>
          <t>India</t>
        </is>
      </c>
      <c r="B66" s="3" t="inlineStr">
        <is>
          <t>IN-NET-011</t>
        </is>
      </c>
      <c r="C66" s="3" t="inlineStr">
        <is>
          <t>Network</t>
        </is>
      </c>
      <c r="D66" s="3" t="n">
        <v>117</v>
      </c>
      <c r="E66" s="3" t="n">
        <v>60</v>
      </c>
      <c r="F66" s="3" t="n">
        <v>30</v>
      </c>
      <c r="G66" s="5" t="n">
        <v>85</v>
      </c>
      <c r="H66" s="15" t="n">
        <v>750.09</v>
      </c>
      <c r="I66" s="5">
        <f>IF(AND(ISNUMBER(G66),G66&gt;0),D66/(G66/7),"")</f>
        <v/>
      </c>
      <c r="J66" s="3">
        <f>IF(AND(ISNUMBER(E66),D66&lt;E66),1,0)</f>
        <v/>
      </c>
      <c r="K66" s="3" t="n">
        <v>633</v>
      </c>
      <c r="L66" s="3" t="n">
        <v>621</v>
      </c>
      <c r="M66" s="3" t="n">
        <v>104</v>
      </c>
      <c r="N66" s="4">
        <f>IF(AND(ISNUMBER(K66),K66&gt;0),M66/K66,"")</f>
        <v/>
      </c>
      <c r="O66" s="4">
        <f>IF(AND(ISNUMBER(K66),K66&gt;0),(L66-K66)/K66,"")</f>
        <v/>
      </c>
      <c r="P66" s="3" t="n"/>
      <c r="Q66" s="3" t="inlineStr">
        <is>
          <t>LOW</t>
        </is>
      </c>
      <c r="R66" s="6">
        <f>IF(ISNUMBER(G66),MAX(0,D66-Legend!$B$2*G66/7)*H66,0)</f>
        <v/>
      </c>
    </row>
    <row r="67">
      <c r="A67" s="3" t="inlineStr">
        <is>
          <t>India</t>
        </is>
      </c>
      <c r="B67" s="3" t="inlineStr">
        <is>
          <t>IN-NET-015</t>
        </is>
      </c>
      <c r="C67" s="3" t="inlineStr">
        <is>
          <t>Network</t>
        </is>
      </c>
      <c r="D67" s="3" t="n">
        <v>682</v>
      </c>
      <c r="E67" s="3" t="n">
        <v>112</v>
      </c>
      <c r="F67" s="3" t="n">
        <v>29</v>
      </c>
      <c r="G67" s="5" t="n">
        <v>109.25</v>
      </c>
      <c r="H67" s="15" t="n">
        <v>249.87</v>
      </c>
      <c r="I67" s="5">
        <f>IF(AND(ISNUMBER(G67),G67&gt;0),D67/(G67/7),"")</f>
        <v/>
      </c>
      <c r="J67" s="3">
        <f>IF(AND(ISNUMBER(E67),D67&lt;E67),1,0)</f>
        <v/>
      </c>
      <c r="K67" s="3" t="n">
        <v>973</v>
      </c>
      <c r="L67" s="3" t="n">
        <v>1026</v>
      </c>
      <c r="M67" s="3" t="n">
        <v>177</v>
      </c>
      <c r="N67" s="4">
        <f>IF(AND(ISNUMBER(K67),K67&gt;0),M67/K67,"")</f>
        <v/>
      </c>
      <c r="O67" s="4">
        <f>IF(AND(ISNUMBER(K67),K67&gt;0),(L67-K67)/K67,"")</f>
        <v/>
      </c>
      <c r="P67" s="3" t="n"/>
      <c r="Q67" s="3" t="inlineStr">
        <is>
          <t>LOW</t>
        </is>
      </c>
      <c r="R67" s="6">
        <f>IF(ISNUMBER(G67),MAX(0,D67-Legend!$B$2*G67/7)*H67,0)</f>
        <v/>
      </c>
    </row>
    <row r="68">
      <c r="A68" s="3" t="inlineStr">
        <is>
          <t>India</t>
        </is>
      </c>
      <c r="B68" s="3" t="inlineStr">
        <is>
          <t>IN-NET-019</t>
        </is>
      </c>
      <c r="C68" s="3" t="inlineStr">
        <is>
          <t>Network</t>
        </is>
      </c>
      <c r="D68" s="3" t="n">
        <v>404</v>
      </c>
      <c r="E68" s="3" t="n">
        <v>61</v>
      </c>
      <c r="F68" s="3" t="n">
        <v>18</v>
      </c>
      <c r="G68" s="5" t="n">
        <v>61.75</v>
      </c>
      <c r="H68" s="15" t="n">
        <v>884.92</v>
      </c>
      <c r="I68" s="5">
        <f>IF(AND(ISNUMBER(G68),G68&gt;0),D68/(G68/7),"")</f>
        <v/>
      </c>
      <c r="J68" s="3">
        <f>IF(AND(ISNUMBER(E68),D68&lt;E68),1,0)</f>
        <v/>
      </c>
      <c r="K68" s="3" t="n">
        <v>566</v>
      </c>
      <c r="L68" s="3" t="n">
        <v>581</v>
      </c>
      <c r="M68" s="3" t="n">
        <v>117</v>
      </c>
      <c r="N68" s="4">
        <f>IF(AND(ISNUMBER(K68),K68&gt;0),M68/K68,"")</f>
        <v/>
      </c>
      <c r="O68" s="4">
        <f>IF(AND(ISNUMBER(K68),K68&gt;0),(L68-K68)/K68,"")</f>
        <v/>
      </c>
      <c r="P68" s="3" t="n"/>
      <c r="Q68" s="3" t="inlineStr">
        <is>
          <t>LOW</t>
        </is>
      </c>
      <c r="R68" s="6">
        <f>IF(ISNUMBER(G68),MAX(0,D68-Legend!$B$2*G68/7)*H68,0)</f>
        <v/>
      </c>
    </row>
    <row r="69">
      <c r="A69" s="3" t="inlineStr">
        <is>
          <t>India</t>
        </is>
      </c>
      <c r="B69" s="3" t="inlineStr">
        <is>
          <t>IN-NET-023</t>
        </is>
      </c>
      <c r="C69" s="3" t="inlineStr">
        <is>
          <t>Network</t>
        </is>
      </c>
      <c r="D69" s="3" t="n">
        <v>227</v>
      </c>
      <c r="E69" s="3" t="n">
        <v>69</v>
      </c>
      <c r="F69" s="3" t="n">
        <v>29</v>
      </c>
      <c r="G69" s="5" t="n">
        <v>103.5</v>
      </c>
      <c r="H69" s="15" t="n">
        <v>272.19</v>
      </c>
      <c r="I69" s="5">
        <f>IF(AND(ISNUMBER(G69),G69&gt;0),D69/(G69/7),"")</f>
        <v/>
      </c>
      <c r="J69" s="3">
        <f>IF(AND(ISNUMBER(E69),D69&lt;E69),1,0)</f>
        <v/>
      </c>
      <c r="K69" s="3" t="n">
        <v>883</v>
      </c>
      <c r="L69" s="3" t="n">
        <v>847</v>
      </c>
      <c r="M69" s="3" t="n">
        <v>150</v>
      </c>
      <c r="N69" s="4">
        <f>IF(AND(ISNUMBER(K69),K69&gt;0),M69/K69,"")</f>
        <v/>
      </c>
      <c r="O69" s="4">
        <f>IF(AND(ISNUMBER(K69),K69&gt;0),(L69-K69)/K69,"")</f>
        <v/>
      </c>
      <c r="P69" s="3" t="n"/>
      <c r="Q69" s="3" t="inlineStr">
        <is>
          <t>LOW</t>
        </is>
      </c>
      <c r="R69" s="6">
        <f>IF(ISNUMBER(G69),MAX(0,D69-Legend!$B$2*G69/7)*H69,0)</f>
        <v/>
      </c>
    </row>
    <row r="70">
      <c r="A70" s="3" t="inlineStr">
        <is>
          <t>India</t>
        </is>
      </c>
      <c r="B70" s="3" t="inlineStr">
        <is>
          <t>IN-NET-027</t>
        </is>
      </c>
      <c r="C70" s="3" t="inlineStr">
        <is>
          <t>Network</t>
        </is>
      </c>
      <c r="D70" s="3" t="n">
        <v>196</v>
      </c>
      <c r="E70" s="3" t="n">
        <v>34</v>
      </c>
      <c r="F70" s="3" t="n">
        <v>27</v>
      </c>
      <c r="G70" s="5" t="n">
        <v>51.25</v>
      </c>
      <c r="H70" s="15" t="n">
        <v>593.8200000000001</v>
      </c>
      <c r="I70" s="5">
        <f>IF(AND(ISNUMBER(G70),G70&gt;0),D70/(G70/7),"")</f>
        <v/>
      </c>
      <c r="J70" s="3">
        <f>IF(AND(ISNUMBER(E70),D70&lt;E70),1,0)</f>
        <v/>
      </c>
      <c r="K70" s="3" t="n">
        <v>411</v>
      </c>
      <c r="L70" s="3" t="n">
        <v>372</v>
      </c>
      <c r="M70" s="3" t="n">
        <v>71</v>
      </c>
      <c r="N70" s="4">
        <f>IF(AND(ISNUMBER(K70),K70&gt;0),M70/K70,"")</f>
        <v/>
      </c>
      <c r="O70" s="4">
        <f>IF(AND(ISNUMBER(K70),K70&gt;0),(L70-K70)/K70,"")</f>
        <v/>
      </c>
      <c r="P70" s="3" t="n"/>
      <c r="Q70" s="3" t="inlineStr">
        <is>
          <t>LOW</t>
        </is>
      </c>
      <c r="R70" s="6">
        <f>IF(ISNUMBER(G70),MAX(0,D70-Legend!$B$2*G70/7)*H70,0)</f>
        <v/>
      </c>
    </row>
    <row r="71">
      <c r="A71" s="3" t="inlineStr">
        <is>
          <t>India</t>
        </is>
      </c>
      <c r="B71" s="3" t="inlineStr">
        <is>
          <t>IN-NET-031</t>
        </is>
      </c>
      <c r="C71" s="3" t="inlineStr">
        <is>
          <t>Network</t>
        </is>
      </c>
      <c r="D71" s="3" t="n">
        <v>345</v>
      </c>
      <c r="E71" s="3" t="n">
        <v>121</v>
      </c>
      <c r="F71" s="3" t="n">
        <v>29</v>
      </c>
      <c r="G71" s="5" t="n">
        <v>219.25</v>
      </c>
      <c r="H71" s="15" t="n">
        <v>105.96</v>
      </c>
      <c r="I71" s="5">
        <f>IF(AND(ISNUMBER(G71),G71&gt;0),D71/(G71/7),"")</f>
        <v/>
      </c>
      <c r="J71" s="3">
        <f>IF(AND(ISNUMBER(E71),D71&lt;E71),1,0)</f>
        <v/>
      </c>
      <c r="K71" s="3" t="n">
        <v>1244</v>
      </c>
      <c r="L71" s="3" t="n">
        <v>1790</v>
      </c>
      <c r="M71" s="3" t="n">
        <v>552</v>
      </c>
      <c r="N71" s="4">
        <f>IF(AND(ISNUMBER(K71),K71&gt;0),M71/K71,"")</f>
        <v/>
      </c>
      <c r="O71" s="4">
        <f>IF(AND(ISNUMBER(K71),K71&gt;0),(L71-K71)/K71,"")</f>
        <v/>
      </c>
      <c r="P71" s="3" t="n">
        <v>1</v>
      </c>
      <c r="Q71" s="16" t="inlineStr">
        <is>
          <t>HIGH</t>
        </is>
      </c>
      <c r="R71" s="6">
        <f>IF(ISNUMBER(G71),MAX(0,D71-Legend!$B$2*G71/7)*H71,0)</f>
        <v/>
      </c>
    </row>
    <row r="72">
      <c r="A72" s="3" t="inlineStr">
        <is>
          <t>India</t>
        </is>
      </c>
      <c r="B72" s="3" t="inlineStr">
        <is>
          <t>IN-NET-035</t>
        </is>
      </c>
      <c r="C72" s="3" t="inlineStr">
        <is>
          <t>Network</t>
        </is>
      </c>
      <c r="D72" s="3" t="n">
        <v>790</v>
      </c>
      <c r="E72" s="3" t="n">
        <v>146</v>
      </c>
      <c r="F72" s="3" t="n">
        <v>27</v>
      </c>
      <c r="G72" s="5" t="n">
        <v>155</v>
      </c>
      <c r="H72" s="15" t="n">
        <v>117.4</v>
      </c>
      <c r="I72" s="5">
        <f>IF(AND(ISNUMBER(G72),G72&gt;0),D72/(G72/7),"")</f>
        <v/>
      </c>
      <c r="J72" s="3">
        <f>IF(AND(ISNUMBER(E72),D72&lt;E72),1,0)</f>
        <v/>
      </c>
      <c r="K72" s="3" t="n">
        <v>1282</v>
      </c>
      <c r="L72" s="3" t="n">
        <v>1295</v>
      </c>
      <c r="M72" s="3" t="n">
        <v>225</v>
      </c>
      <c r="N72" s="4">
        <f>IF(AND(ISNUMBER(K72),K72&gt;0),M72/K72,"")</f>
        <v/>
      </c>
      <c r="O72" s="4">
        <f>IF(AND(ISNUMBER(K72),K72&gt;0),(L72-K72)/K72,"")</f>
        <v/>
      </c>
      <c r="P72" s="3" t="n"/>
      <c r="Q72" s="3" t="inlineStr">
        <is>
          <t>LOW</t>
        </is>
      </c>
      <c r="R72" s="6">
        <f>IF(ISNUMBER(G72),MAX(0,D72-Legend!$B$2*G72/7)*H72,0)</f>
        <v/>
      </c>
    </row>
    <row r="73">
      <c r="A73" s="3" t="inlineStr">
        <is>
          <t>India</t>
        </is>
      </c>
      <c r="B73" s="3" t="inlineStr">
        <is>
          <t>IN-NET-039</t>
        </is>
      </c>
      <c r="C73" s="3" t="inlineStr">
        <is>
          <t>Network</t>
        </is>
      </c>
      <c r="D73" s="3" t="n">
        <v>373</v>
      </c>
      <c r="E73" s="3" t="n">
        <v>33</v>
      </c>
      <c r="F73" s="3" t="n">
        <v>23</v>
      </c>
      <c r="G73" s="5" t="n">
        <v>41</v>
      </c>
      <c r="H73" s="15" t="n">
        <v>60.45</v>
      </c>
      <c r="I73" s="5">
        <f>IF(AND(ISNUMBER(G73),G73&gt;0),D73/(G73/7),"")</f>
        <v/>
      </c>
      <c r="J73" s="3">
        <f>IF(AND(ISNUMBER(E73),D73&lt;E73),1,0)</f>
        <v/>
      </c>
      <c r="K73" s="3" t="n">
        <v>314</v>
      </c>
      <c r="L73" s="3" t="n">
        <v>318</v>
      </c>
      <c r="M73" s="3" t="n">
        <v>54</v>
      </c>
      <c r="N73" s="4">
        <f>IF(AND(ISNUMBER(K73),K73&gt;0),M73/K73,"")</f>
        <v/>
      </c>
      <c r="O73" s="4">
        <f>IF(AND(ISNUMBER(K73),K73&gt;0),(L73-K73)/K73,"")</f>
        <v/>
      </c>
      <c r="P73" s="3" t="n"/>
      <c r="Q73" s="3" t="inlineStr">
        <is>
          <t>LOW</t>
        </is>
      </c>
      <c r="R73" s="6">
        <f>IF(ISNUMBER(G73),MAX(0,D73-Legend!$B$2*G73/7)*H73,0)</f>
        <v/>
      </c>
    </row>
    <row r="74">
      <c r="A74" s="3" t="inlineStr">
        <is>
          <t>India</t>
        </is>
      </c>
      <c r="B74" s="3" t="inlineStr">
        <is>
          <t>IN-STO-004</t>
        </is>
      </c>
      <c r="C74" s="3" t="inlineStr">
        <is>
          <t>Storage</t>
        </is>
      </c>
      <c r="D74" s="3" t="n">
        <v>77</v>
      </c>
      <c r="E74" s="3" t="n">
        <v>21</v>
      </c>
      <c r="F74" s="3" t="n">
        <v>16</v>
      </c>
      <c r="G74" s="5" t="n">
        <v>53.25</v>
      </c>
      <c r="H74" s="15" t="n">
        <v>204.95</v>
      </c>
      <c r="I74" s="5">
        <f>IF(AND(ISNUMBER(G74),G74&gt;0),D74/(G74/7),"")</f>
        <v/>
      </c>
      <c r="J74" s="3">
        <f>IF(AND(ISNUMBER(E74),D74&lt;E74),1,0)</f>
        <v/>
      </c>
      <c r="K74" s="3" t="n">
        <v>359</v>
      </c>
      <c r="L74" s="3" t="n">
        <v>364</v>
      </c>
      <c r="M74" s="3" t="n">
        <v>75</v>
      </c>
      <c r="N74" s="4">
        <f>IF(AND(ISNUMBER(K74),K74&gt;0),M74/K74,"")</f>
        <v/>
      </c>
      <c r="O74" s="4">
        <f>IF(AND(ISNUMBER(K74),K74&gt;0),(L74-K74)/K74,"")</f>
        <v/>
      </c>
      <c r="P74" s="3" t="n">
        <v>1</v>
      </c>
      <c r="Q74" s="16" t="inlineStr">
        <is>
          <t>HIGH</t>
        </is>
      </c>
      <c r="R74" s="6">
        <f>IF(ISNUMBER(G74),MAX(0,D74-Legend!$B$2*G74/7)*H74,0)</f>
        <v/>
      </c>
    </row>
    <row r="75">
      <c r="A75" s="3" t="inlineStr">
        <is>
          <t>India</t>
        </is>
      </c>
      <c r="B75" s="3" t="inlineStr">
        <is>
          <t>IN-STO-008</t>
        </is>
      </c>
      <c r="C75" s="3" t="inlineStr">
        <is>
          <t>Storage</t>
        </is>
      </c>
      <c r="D75" s="3" t="n">
        <v>3291</v>
      </c>
      <c r="E75" s="3" t="n">
        <v>166</v>
      </c>
      <c r="F75" s="3" t="n">
        <v>16</v>
      </c>
      <c r="G75" s="5" t="n">
        <v>391.75</v>
      </c>
      <c r="H75" s="15" t="n">
        <v>575.4400000000001</v>
      </c>
      <c r="I75" s="5">
        <f>IF(AND(ISNUMBER(G75),G75&gt;0),D75/(G75/7),"")</f>
        <v/>
      </c>
      <c r="J75" s="3">
        <f>IF(AND(ISNUMBER(E75),D75&lt;E75),1,0)</f>
        <v/>
      </c>
      <c r="K75" s="3" t="n">
        <v>3147</v>
      </c>
      <c r="L75" s="3" t="n">
        <v>3344</v>
      </c>
      <c r="M75" s="3" t="n">
        <v>781</v>
      </c>
      <c r="N75" s="4">
        <f>IF(AND(ISNUMBER(K75),K75&gt;0),M75/K75,"")</f>
        <v/>
      </c>
      <c r="O75" s="4">
        <f>IF(AND(ISNUMBER(K75),K75&gt;0),(L75-K75)/K75,"")</f>
        <v/>
      </c>
      <c r="P75" s="3" t="n"/>
      <c r="Q75" s="3" t="inlineStr">
        <is>
          <t>LOW</t>
        </is>
      </c>
      <c r="R75" s="6">
        <f>IF(ISNUMBER(G75),MAX(0,D75-Legend!$B$2*G75/7)*H75,0)</f>
        <v/>
      </c>
    </row>
    <row r="76">
      <c r="A76" s="3" t="inlineStr">
        <is>
          <t>India</t>
        </is>
      </c>
      <c r="B76" s="3" t="inlineStr">
        <is>
          <t>IN-STO-012</t>
        </is>
      </c>
      <c r="C76" s="3" t="inlineStr">
        <is>
          <t>Storage</t>
        </is>
      </c>
      <c r="D76" s="3" t="n">
        <v>727</v>
      </c>
      <c r="E76" s="3" t="n">
        <v>46</v>
      </c>
      <c r="F76" s="3" t="n">
        <v>29</v>
      </c>
      <c r="G76" s="5" t="n">
        <v>50.75</v>
      </c>
      <c r="H76" s="15" t="n">
        <v>462.46</v>
      </c>
      <c r="I76" s="5">
        <f>IF(AND(ISNUMBER(G76),G76&gt;0),D76/(G76/7),"")</f>
        <v/>
      </c>
      <c r="J76" s="3">
        <f>IF(AND(ISNUMBER(E76),D76&lt;E76),1,0)</f>
        <v/>
      </c>
      <c r="K76" s="3" t="n">
        <v>470</v>
      </c>
      <c r="L76" s="3" t="n">
        <v>444</v>
      </c>
      <c r="M76" s="3" t="n">
        <v>70</v>
      </c>
      <c r="N76" s="4">
        <f>IF(AND(ISNUMBER(K76),K76&gt;0),M76/K76,"")</f>
        <v/>
      </c>
      <c r="O76" s="4">
        <f>IF(AND(ISNUMBER(K76),K76&gt;0),(L76-K76)/K76,"")</f>
        <v/>
      </c>
      <c r="P76" s="3" t="n"/>
      <c r="Q76" s="3" t="inlineStr">
        <is>
          <t>LOW</t>
        </is>
      </c>
      <c r="R76" s="6">
        <f>IF(ISNUMBER(G76),MAX(0,D76-Legend!$B$2*G76/7)*H76,0)</f>
        <v/>
      </c>
    </row>
    <row r="77">
      <c r="A77" s="3" t="inlineStr">
        <is>
          <t>India</t>
        </is>
      </c>
      <c r="B77" s="3" t="inlineStr">
        <is>
          <t>IN-STO-016</t>
        </is>
      </c>
      <c r="C77" s="3" t="inlineStr">
        <is>
          <t>Storage</t>
        </is>
      </c>
      <c r="D77" s="3" t="n">
        <v>92</v>
      </c>
      <c r="E77" s="3" t="n">
        <v>23</v>
      </c>
      <c r="F77" s="3" t="n">
        <v>14</v>
      </c>
      <c r="G77" s="5" t="n">
        <v>61</v>
      </c>
      <c r="H77" s="15" t="n">
        <v>107.42</v>
      </c>
      <c r="I77" s="5">
        <f>IF(AND(ISNUMBER(G77),G77&gt;0),D77/(G77/7),"")</f>
        <v/>
      </c>
      <c r="J77" s="3">
        <f>IF(AND(ISNUMBER(E77),D77&lt;E77),1,0)</f>
        <v/>
      </c>
      <c r="K77" s="3" t="n">
        <v>455</v>
      </c>
      <c r="L77" s="3" t="n">
        <v>474</v>
      </c>
      <c r="M77" s="3" t="n">
        <v>63</v>
      </c>
      <c r="N77" s="4">
        <f>IF(AND(ISNUMBER(K77),K77&gt;0),M77/K77,"")</f>
        <v/>
      </c>
      <c r="O77" s="4">
        <f>IF(AND(ISNUMBER(K77),K77&gt;0),(L77-K77)/K77,"")</f>
        <v/>
      </c>
      <c r="P77" s="3" t="n">
        <v>1</v>
      </c>
      <c r="Q77" s="16" t="inlineStr">
        <is>
          <t>HIGH</t>
        </is>
      </c>
      <c r="R77" s="6">
        <f>IF(ISNUMBER(G77),MAX(0,D77-Legend!$B$2*G77/7)*H77,0)</f>
        <v/>
      </c>
    </row>
    <row r="78">
      <c r="A78" s="3" t="inlineStr">
        <is>
          <t>India</t>
        </is>
      </c>
      <c r="B78" s="3" t="inlineStr">
        <is>
          <t>IN-STO-020</t>
        </is>
      </c>
      <c r="C78" s="3" t="inlineStr">
        <is>
          <t>Storage</t>
        </is>
      </c>
      <c r="D78" s="3" t="n">
        <v>206</v>
      </c>
      <c r="E78" s="3" t="n">
        <v>71</v>
      </c>
      <c r="F78" s="3" t="n">
        <v>21</v>
      </c>
      <c r="G78" s="5" t="n">
        <v>97.5</v>
      </c>
      <c r="H78" s="15" t="n">
        <v>296.48</v>
      </c>
      <c r="I78" s="5">
        <f>IF(AND(ISNUMBER(G78),G78&gt;0),D78/(G78/7),"")</f>
        <v/>
      </c>
      <c r="J78" s="3">
        <f>IF(AND(ISNUMBER(E78),D78&lt;E78),1,0)</f>
        <v/>
      </c>
      <c r="K78" s="3" t="n">
        <v>777</v>
      </c>
      <c r="L78" s="3" t="n">
        <v>830</v>
      </c>
      <c r="M78" s="3" t="n">
        <v>177</v>
      </c>
      <c r="N78" s="4">
        <f>IF(AND(ISNUMBER(K78),K78&gt;0),M78/K78,"")</f>
        <v/>
      </c>
      <c r="O78" s="4">
        <f>IF(AND(ISNUMBER(K78),K78&gt;0),(L78-K78)/K78,"")</f>
        <v/>
      </c>
      <c r="P78" s="3" t="n"/>
      <c r="Q78" s="3" t="inlineStr">
        <is>
          <t>LOW</t>
        </is>
      </c>
      <c r="R78" s="6">
        <f>IF(ISNUMBER(G78),MAX(0,D78-Legend!$B$2*G78/7)*H78,0)</f>
        <v/>
      </c>
    </row>
    <row r="79">
      <c r="A79" s="3" t="inlineStr">
        <is>
          <t>India</t>
        </is>
      </c>
      <c r="B79" s="3" t="inlineStr">
        <is>
          <t>IN-STO-024</t>
        </is>
      </c>
      <c r="C79" s="3" t="inlineStr">
        <is>
          <t>Storage</t>
        </is>
      </c>
      <c r="D79" s="3" t="n">
        <v>1072</v>
      </c>
      <c r="E79" s="3" t="n">
        <v>72</v>
      </c>
      <c r="F79" s="3" t="n">
        <v>12</v>
      </c>
      <c r="G79" s="5" t="n">
        <v>182</v>
      </c>
      <c r="H79" s="15" t="n">
        <v>532.83</v>
      </c>
      <c r="I79" s="5">
        <f>IF(AND(ISNUMBER(G79),G79&gt;0),D79/(G79/7),"")</f>
        <v/>
      </c>
      <c r="J79" s="3">
        <f>IF(AND(ISNUMBER(E79),D79&lt;E79),1,0)</f>
        <v/>
      </c>
      <c r="K79" s="3" t="n">
        <v>1272</v>
      </c>
      <c r="L79" s="3" t="n">
        <v>1262</v>
      </c>
      <c r="M79" s="3" t="n">
        <v>222</v>
      </c>
      <c r="N79" s="4">
        <f>IF(AND(ISNUMBER(K79),K79&gt;0),M79/K79,"")</f>
        <v/>
      </c>
      <c r="O79" s="4">
        <f>IF(AND(ISNUMBER(K79),K79&gt;0),(L79-K79)/K79,"")</f>
        <v/>
      </c>
      <c r="P79" s="3" t="n"/>
      <c r="Q79" s="3" t="inlineStr">
        <is>
          <t>LOW</t>
        </is>
      </c>
      <c r="R79" s="6">
        <f>IF(ISNUMBER(G79),MAX(0,D79-Legend!$B$2*G79/7)*H79,0)</f>
        <v/>
      </c>
    </row>
    <row r="80">
      <c r="A80" s="3" t="inlineStr">
        <is>
          <t>India</t>
        </is>
      </c>
      <c r="B80" s="3" t="inlineStr">
        <is>
          <t>IN-STO-028</t>
        </is>
      </c>
      <c r="C80" s="3" t="inlineStr">
        <is>
          <t>Storage</t>
        </is>
      </c>
      <c r="D80" s="3" t="n">
        <v>174</v>
      </c>
      <c r="E80" s="3" t="n">
        <v>23</v>
      </c>
      <c r="F80" s="3" t="n">
        <v>20</v>
      </c>
      <c r="G80" s="5" t="n">
        <v>37</v>
      </c>
      <c r="H80" s="15" t="n">
        <v>295.68</v>
      </c>
      <c r="I80" s="5">
        <f>IF(AND(ISNUMBER(G80),G80&gt;0),D80/(G80/7),"")</f>
        <v/>
      </c>
      <c r="J80" s="3">
        <f>IF(AND(ISNUMBER(E80),D80&lt;E80),1,0)</f>
        <v/>
      </c>
      <c r="K80" s="3" t="n">
        <v>298</v>
      </c>
      <c r="L80" s="3" t="n">
        <v>298</v>
      </c>
      <c r="M80" s="3" t="n">
        <v>38</v>
      </c>
      <c r="N80" s="4">
        <f>IF(AND(ISNUMBER(K80),K80&gt;0),M80/K80,"")</f>
        <v/>
      </c>
      <c r="O80" s="4">
        <f>IF(AND(ISNUMBER(K80),K80&gt;0),(L80-K80)/K80,"")</f>
        <v/>
      </c>
      <c r="P80" s="3" t="n"/>
      <c r="Q80" s="3" t="inlineStr">
        <is>
          <t>LOW</t>
        </is>
      </c>
      <c r="R80" s="6">
        <f>IF(ISNUMBER(G80),MAX(0,D80-Legend!$B$2*G80/7)*H80,0)</f>
        <v/>
      </c>
    </row>
    <row r="81">
      <c r="A81" s="3" t="inlineStr">
        <is>
          <t>India</t>
        </is>
      </c>
      <c r="B81" s="3" t="inlineStr">
        <is>
          <t>IN-STO-036</t>
        </is>
      </c>
      <c r="C81" s="3" t="inlineStr">
        <is>
          <t>Storage</t>
        </is>
      </c>
      <c r="D81" s="3" t="n">
        <v>314</v>
      </c>
      <c r="E81" s="3" t="n">
        <v>95</v>
      </c>
      <c r="F81" s="3" t="n">
        <v>14</v>
      </c>
      <c r="G81" s="5" t="n">
        <v>178.25</v>
      </c>
      <c r="H81" s="15" t="n">
        <v>408.43</v>
      </c>
      <c r="I81" s="5">
        <f>IF(AND(ISNUMBER(G81),G81&gt;0),D81/(G81/7),"")</f>
        <v/>
      </c>
      <c r="J81" s="3">
        <f>IF(AND(ISNUMBER(E81),D81&lt;E81),1,0)</f>
        <v/>
      </c>
      <c r="K81" s="3" t="n">
        <v>1332</v>
      </c>
      <c r="L81" s="3" t="n">
        <v>1465</v>
      </c>
      <c r="M81" s="3" t="n">
        <v>239</v>
      </c>
      <c r="N81" s="4">
        <f>IF(AND(ISNUMBER(K81),K81&gt;0),M81/K81,"")</f>
        <v/>
      </c>
      <c r="O81" s="4">
        <f>IF(AND(ISNUMBER(K81),K81&gt;0),(L81-K81)/K81,"")</f>
        <v/>
      </c>
      <c r="P81" s="3" t="n">
        <v>1</v>
      </c>
      <c r="Q81" s="16" t="inlineStr">
        <is>
          <t>HIGH</t>
        </is>
      </c>
      <c r="R81" s="6">
        <f>IF(ISNUMBER(G81),MAX(0,D81-Legend!$B$2*G81/7)*H81,0)</f>
        <v/>
      </c>
    </row>
    <row r="82">
      <c r="A82" s="3" t="inlineStr">
        <is>
          <t>India</t>
        </is>
      </c>
      <c r="B82" s="3" t="inlineStr">
        <is>
          <t>IN-STO-040</t>
        </is>
      </c>
      <c r="C82" s="3" t="inlineStr">
        <is>
          <t>Storage</t>
        </is>
      </c>
      <c r="D82" s="3" t="n">
        <v>265</v>
      </c>
      <c r="E82" s="3" t="n">
        <v>50</v>
      </c>
      <c r="F82" s="3" t="n">
        <v>28</v>
      </c>
      <c r="G82" s="5" t="n">
        <v>57.75</v>
      </c>
      <c r="H82" s="15" t="n">
        <v>57.53</v>
      </c>
      <c r="I82" s="5">
        <f>IF(AND(ISNUMBER(G82),G82&gt;0),D82/(G82/7),"")</f>
        <v/>
      </c>
      <c r="J82" s="3">
        <f>IF(AND(ISNUMBER(E82),D82&lt;E82),1,0)</f>
        <v/>
      </c>
      <c r="K82" s="3" t="n">
        <v>513</v>
      </c>
      <c r="L82" s="3" t="n">
        <v>527</v>
      </c>
      <c r="M82" s="3" t="n">
        <v>64</v>
      </c>
      <c r="N82" s="4">
        <f>IF(AND(ISNUMBER(K82),K82&gt;0),M82/K82,"")</f>
        <v/>
      </c>
      <c r="O82" s="4">
        <f>IF(AND(ISNUMBER(K82),K82&gt;0),(L82-K82)/K82,"")</f>
        <v/>
      </c>
      <c r="P82" s="3" t="n"/>
      <c r="Q82" s="3" t="inlineStr">
        <is>
          <t>LOW</t>
        </is>
      </c>
      <c r="R82" s="6">
        <f>IF(ISNUMBER(G82),MAX(0,D82-Legend!$B$2*G82/7)*H82,0)</f>
        <v/>
      </c>
    </row>
    <row r="83">
      <c r="A83" s="3" t="inlineStr">
        <is>
          <t>MENA-PAK</t>
        </is>
      </c>
      <c r="B83" s="3" t="inlineStr">
        <is>
          <t>MP-ACC-002</t>
        </is>
      </c>
      <c r="C83" s="3" t="inlineStr">
        <is>
          <t>Accessories</t>
        </is>
      </c>
      <c r="D83" s="3" t="n">
        <v>546</v>
      </c>
      <c r="E83" s="3" t="n">
        <v>55</v>
      </c>
      <c r="F83" s="3" t="n">
        <v>49</v>
      </c>
      <c r="G83" s="5" t="n">
        <v>44.25</v>
      </c>
      <c r="H83" s="15" t="n">
        <v>736.9400000000001</v>
      </c>
      <c r="I83" s="5">
        <f>IF(AND(ISNUMBER(G83),G83&gt;0),D83/(G83/7),"")</f>
        <v/>
      </c>
      <c r="J83" s="3">
        <f>IF(AND(ISNUMBER(E83),D83&lt;E83),1,0)</f>
        <v/>
      </c>
      <c r="K83" s="3" t="n">
        <v>304</v>
      </c>
      <c r="L83" s="3" t="n">
        <v>343</v>
      </c>
      <c r="M83" s="3" t="n">
        <v>89</v>
      </c>
      <c r="N83" s="4">
        <f>IF(AND(ISNUMBER(K83),K83&gt;0),M83/K83,"")</f>
        <v/>
      </c>
      <c r="O83" s="4">
        <f>IF(AND(ISNUMBER(K83),K83&gt;0),(L83-K83)/K83,"")</f>
        <v/>
      </c>
      <c r="P83" s="3" t="n"/>
      <c r="Q83" s="3" t="inlineStr">
        <is>
          <t>LOW</t>
        </is>
      </c>
      <c r="R83" s="6">
        <f>IF(ISNUMBER(G83),MAX(0,D83-Legend!$B$2*G83/7)*H83,0)</f>
        <v/>
      </c>
    </row>
    <row r="84">
      <c r="A84" s="3" t="inlineStr">
        <is>
          <t>MENA-PAK</t>
        </is>
      </c>
      <c r="B84" s="3" t="inlineStr">
        <is>
          <t>MP-ACC-006</t>
        </is>
      </c>
      <c r="C84" s="3" t="inlineStr">
        <is>
          <t>Accessories</t>
        </is>
      </c>
      <c r="D84" s="3" t="n">
        <v>404</v>
      </c>
      <c r="E84" s="3" t="n">
        <v>78</v>
      </c>
      <c r="F84" s="3" t="n">
        <v>58</v>
      </c>
      <c r="G84" s="5" t="n">
        <v>66</v>
      </c>
      <c r="H84" s="15" t="n">
        <v>176.05</v>
      </c>
      <c r="I84" s="5">
        <f>IF(AND(ISNUMBER(G84),G84&gt;0),D84/(G84/7),"")</f>
        <v/>
      </c>
      <c r="J84" s="3">
        <f>IF(AND(ISNUMBER(E84),D84&lt;E84),1,0)</f>
        <v/>
      </c>
      <c r="K84" s="3" t="n">
        <v>466</v>
      </c>
      <c r="L84" s="3" t="n">
        <v>515</v>
      </c>
      <c r="M84" s="3" t="n">
        <v>111</v>
      </c>
      <c r="N84" s="4">
        <f>IF(AND(ISNUMBER(K84),K84&gt;0),M84/K84,"")</f>
        <v/>
      </c>
      <c r="O84" s="4">
        <f>IF(AND(ISNUMBER(K84),K84&gt;0),(L84-K84)/K84,"")</f>
        <v/>
      </c>
      <c r="P84" s="3" t="n"/>
      <c r="Q84" s="3" t="inlineStr">
        <is>
          <t>LOW</t>
        </is>
      </c>
      <c r="R84" s="6">
        <f>IF(ISNUMBER(G84),MAX(0,D84-Legend!$B$2*G84/7)*H84,0)</f>
        <v/>
      </c>
    </row>
    <row r="85">
      <c r="A85" s="3" t="inlineStr">
        <is>
          <t>MENA-PAK</t>
        </is>
      </c>
      <c r="B85" s="3" t="inlineStr">
        <is>
          <t>MP-ACC-010</t>
        </is>
      </c>
      <c r="C85" s="3" t="inlineStr">
        <is>
          <t>Accessories</t>
        </is>
      </c>
      <c r="D85" s="3" t="n">
        <v>294</v>
      </c>
      <c r="E85" s="3" t="n">
        <v>55</v>
      </c>
      <c r="F85" s="3" t="n">
        <v>29</v>
      </c>
      <c r="G85" s="5" t="n">
        <v>64.5</v>
      </c>
      <c r="H85" s="15" t="n">
        <v>46.77</v>
      </c>
      <c r="I85" s="5">
        <f>IF(AND(ISNUMBER(G85),G85&gt;0),D85/(G85/7),"")</f>
        <v/>
      </c>
      <c r="J85" s="3">
        <f>IF(AND(ISNUMBER(E85),D85&lt;E85),1,0)</f>
        <v/>
      </c>
      <c r="K85" s="3" t="n">
        <v>514</v>
      </c>
      <c r="L85" s="3" t="n">
        <v>539</v>
      </c>
      <c r="M85" s="3" t="n">
        <v>115</v>
      </c>
      <c r="N85" s="4">
        <f>IF(AND(ISNUMBER(K85),K85&gt;0),M85/K85,"")</f>
        <v/>
      </c>
      <c r="O85" s="4">
        <f>IF(AND(ISNUMBER(K85),K85&gt;0),(L85-K85)/K85,"")</f>
        <v/>
      </c>
      <c r="P85" s="3" t="n"/>
      <c r="Q85" s="3" t="inlineStr">
        <is>
          <t>LOW</t>
        </is>
      </c>
      <c r="R85" s="6">
        <f>IF(ISNUMBER(G85),MAX(0,D85-Legend!$B$2*G85/7)*H85,0)</f>
        <v/>
      </c>
    </row>
    <row r="86">
      <c r="A86" s="3" t="inlineStr">
        <is>
          <t>MENA-PAK</t>
        </is>
      </c>
      <c r="B86" s="3" t="inlineStr">
        <is>
          <t>MP-ACC-014</t>
        </is>
      </c>
      <c r="C86" s="3" t="inlineStr">
        <is>
          <t>Accessories</t>
        </is>
      </c>
      <c r="D86" s="3" t="n">
        <v>639</v>
      </c>
      <c r="E86" s="3" t="n">
        <v>172</v>
      </c>
      <c r="F86" s="3" t="n">
        <v>43</v>
      </c>
      <c r="G86" s="5" t="n">
        <v>110.5</v>
      </c>
      <c r="H86" s="15" t="n">
        <v>599.6799999999999</v>
      </c>
      <c r="I86" s="5">
        <f>IF(AND(ISNUMBER(G86),G86&gt;0),D86/(G86/7),"")</f>
        <v/>
      </c>
      <c r="J86" s="3">
        <f>IF(AND(ISNUMBER(E86),D86&lt;E86),1,0)</f>
        <v/>
      </c>
      <c r="K86" s="3" t="n">
        <v>859</v>
      </c>
      <c r="L86" s="3" t="n">
        <v>880</v>
      </c>
      <c r="M86" s="3" t="n">
        <v>377</v>
      </c>
      <c r="N86" s="4">
        <f>IF(AND(ISNUMBER(K86),K86&gt;0),M86/K86,"")</f>
        <v/>
      </c>
      <c r="O86" s="4">
        <f>IF(AND(ISNUMBER(K86),K86&gt;0),(L86-K86)/K86,"")</f>
        <v/>
      </c>
      <c r="P86" s="3" t="n"/>
      <c r="Q86" s="3" t="inlineStr">
        <is>
          <t>LOW</t>
        </is>
      </c>
      <c r="R86" s="6">
        <f>IF(ISNUMBER(G86),MAX(0,D86-Legend!$B$2*G86/7)*H86,0)</f>
        <v/>
      </c>
    </row>
    <row r="87">
      <c r="A87" s="3" t="inlineStr">
        <is>
          <t>MENA-PAK</t>
        </is>
      </c>
      <c r="B87" s="3" t="inlineStr">
        <is>
          <t>MP-ACC-018</t>
        </is>
      </c>
      <c r="C87" s="3" t="inlineStr">
        <is>
          <t>Accessories</t>
        </is>
      </c>
      <c r="D87" s="3" t="n">
        <v>1929</v>
      </c>
      <c r="E87" s="3" t="n">
        <v>275</v>
      </c>
      <c r="F87" s="3" t="n">
        <v>33</v>
      </c>
      <c r="G87" s="5" t="n">
        <v>246.25</v>
      </c>
      <c r="H87" s="15" t="n">
        <v>681.49</v>
      </c>
      <c r="I87" s="5">
        <f>IF(AND(ISNUMBER(G87),G87&gt;0),D87/(G87/7),"")</f>
        <v/>
      </c>
      <c r="J87" s="3">
        <f>IF(AND(ISNUMBER(E87),D87&lt;E87),1,0)</f>
        <v/>
      </c>
      <c r="K87" s="3" t="n">
        <v>1898</v>
      </c>
      <c r="L87" s="3" t="n">
        <v>2053</v>
      </c>
      <c r="M87" s="3" t="n">
        <v>583</v>
      </c>
      <c r="N87" s="4">
        <f>IF(AND(ISNUMBER(K87),K87&gt;0),M87/K87,"")</f>
        <v/>
      </c>
      <c r="O87" s="4">
        <f>IF(AND(ISNUMBER(K87),K87&gt;0),(L87-K87)/K87,"")</f>
        <v/>
      </c>
      <c r="P87" s="3" t="n"/>
      <c r="Q87" s="3" t="inlineStr">
        <is>
          <t>LOW</t>
        </is>
      </c>
      <c r="R87" s="6">
        <f>IF(ISNUMBER(G87),MAX(0,D87-Legend!$B$2*G87/7)*H87,0)</f>
        <v/>
      </c>
    </row>
    <row r="88">
      <c r="A88" s="3" t="inlineStr">
        <is>
          <t>MENA-PAK</t>
        </is>
      </c>
      <c r="B88" s="3" t="inlineStr">
        <is>
          <t>MP-ACC-022</t>
        </is>
      </c>
      <c r="C88" s="3" t="inlineStr">
        <is>
          <t>Accessories</t>
        </is>
      </c>
      <c r="D88" s="3" t="n">
        <v>1525</v>
      </c>
      <c r="E88" s="3" t="n">
        <v>278</v>
      </c>
      <c r="F88" s="3" t="n">
        <v>54</v>
      </c>
      <c r="G88" s="5" t="n">
        <v>210.25</v>
      </c>
      <c r="H88" s="15" t="n">
        <v>660.47</v>
      </c>
      <c r="I88" s="5">
        <f>IF(AND(ISNUMBER(G88),G88&gt;0),D88/(G88/7),"")</f>
        <v/>
      </c>
      <c r="J88" s="3">
        <f>IF(AND(ISNUMBER(E88),D88&lt;E88),1,0)</f>
        <v/>
      </c>
      <c r="K88" s="3" t="n">
        <v>1754</v>
      </c>
      <c r="L88" s="3" t="n">
        <v>1475</v>
      </c>
      <c r="M88" s="3" t="n">
        <v>345</v>
      </c>
      <c r="N88" s="4">
        <f>IF(AND(ISNUMBER(K88),K88&gt;0),M88/K88,"")</f>
        <v/>
      </c>
      <c r="O88" s="4">
        <f>IF(AND(ISNUMBER(K88),K88&gt;0),(L88-K88)/K88,"")</f>
        <v/>
      </c>
      <c r="P88" s="3" t="n"/>
      <c r="Q88" s="3" t="inlineStr">
        <is>
          <t>LOW</t>
        </is>
      </c>
      <c r="R88" s="6">
        <f>IF(ISNUMBER(G88),MAX(0,D88-Legend!$B$2*G88/7)*H88,0)</f>
        <v/>
      </c>
    </row>
    <row r="89">
      <c r="A89" s="3" t="inlineStr">
        <is>
          <t>MENA-PAK</t>
        </is>
      </c>
      <c r="B89" s="3" t="inlineStr">
        <is>
          <t>MP-ACC-026</t>
        </is>
      </c>
      <c r="C89" s="3" t="inlineStr">
        <is>
          <t>Accessories</t>
        </is>
      </c>
      <c r="D89" s="3" t="n">
        <v>152</v>
      </c>
      <c r="E89" s="3" t="n">
        <v>22</v>
      </c>
      <c r="F89" s="3" t="n">
        <v>37</v>
      </c>
      <c r="G89" s="5" t="n">
        <v>21</v>
      </c>
      <c r="H89" s="15" t="n">
        <v>766.97</v>
      </c>
      <c r="I89" s="5">
        <f>IF(AND(ISNUMBER(G89),G89&gt;0),D89/(G89/7),"")</f>
        <v/>
      </c>
      <c r="J89" s="3">
        <f>IF(AND(ISNUMBER(E89),D89&lt;E89),1,0)</f>
        <v/>
      </c>
      <c r="K89" s="3" t="n">
        <v>212</v>
      </c>
      <c r="L89" s="3" t="n">
        <v>189</v>
      </c>
      <c r="M89" s="3" t="n">
        <v>47</v>
      </c>
      <c r="N89" s="4">
        <f>IF(AND(ISNUMBER(K89),K89&gt;0),M89/K89,"")</f>
        <v/>
      </c>
      <c r="O89" s="4">
        <f>IF(AND(ISNUMBER(K89),K89&gt;0),(L89-K89)/K89,"")</f>
        <v/>
      </c>
      <c r="P89" s="3" t="n"/>
      <c r="Q89" s="3" t="inlineStr">
        <is>
          <t>LOW</t>
        </is>
      </c>
      <c r="R89" s="6">
        <f>IF(ISNUMBER(G89),MAX(0,D89-Legend!$B$2*G89/7)*H89,0)</f>
        <v/>
      </c>
    </row>
    <row r="90">
      <c r="A90" s="3" t="inlineStr">
        <is>
          <t>MENA-PAK</t>
        </is>
      </c>
      <c r="B90" s="3" t="inlineStr">
        <is>
          <t>MP-ACC-030</t>
        </is>
      </c>
      <c r="C90" s="3" t="inlineStr">
        <is>
          <t>Accessories</t>
        </is>
      </c>
      <c r="D90" s="3" t="n">
        <v>602</v>
      </c>
      <c r="E90" s="3" t="n">
        <v>154</v>
      </c>
      <c r="F90" s="3" t="n">
        <v>55</v>
      </c>
      <c r="G90" s="5" t="n">
        <v>140.25</v>
      </c>
      <c r="H90" s="15" t="n">
        <v>514.03</v>
      </c>
      <c r="I90" s="5">
        <f>IF(AND(ISNUMBER(G90),G90&gt;0),D90/(G90/7),"")</f>
        <v/>
      </c>
      <c r="J90" s="3">
        <f>IF(AND(ISNUMBER(E90),D90&lt;E90),1,0)</f>
        <v/>
      </c>
      <c r="K90" s="3" t="n">
        <v>1099</v>
      </c>
      <c r="L90" s="3" t="n">
        <v>1064</v>
      </c>
      <c r="M90" s="3" t="n">
        <v>293</v>
      </c>
      <c r="N90" s="4">
        <f>IF(AND(ISNUMBER(K90),K90&gt;0),M90/K90,"")</f>
        <v/>
      </c>
      <c r="O90" s="4">
        <f>IF(AND(ISNUMBER(K90),K90&gt;0),(L90-K90)/K90,"")</f>
        <v/>
      </c>
      <c r="P90" s="3" t="n"/>
      <c r="Q90" s="3" t="inlineStr">
        <is>
          <t>LOW</t>
        </is>
      </c>
      <c r="R90" s="6">
        <f>IF(ISNUMBER(G90),MAX(0,D90-Legend!$B$2*G90/7)*H90,0)</f>
        <v/>
      </c>
    </row>
    <row r="91">
      <c r="A91" s="3" t="inlineStr">
        <is>
          <t>MENA-PAK</t>
        </is>
      </c>
      <c r="B91" s="3" t="inlineStr">
        <is>
          <t>MP-ACC-034</t>
        </is>
      </c>
      <c r="C91" s="3" t="inlineStr">
        <is>
          <t>Accessories</t>
        </is>
      </c>
      <c r="D91" s="3" t="n">
        <v>328</v>
      </c>
      <c r="E91" s="3" t="n">
        <v>84</v>
      </c>
      <c r="F91" s="3" t="n">
        <v>29</v>
      </c>
      <c r="G91" s="5" t="n">
        <v>35.25</v>
      </c>
      <c r="H91" s="15" t="n">
        <v>529.84</v>
      </c>
      <c r="I91" s="5">
        <f>IF(AND(ISNUMBER(G91),G91&gt;0),D91/(G91/7),"")</f>
        <v/>
      </c>
      <c r="J91" s="3">
        <f>IF(AND(ISNUMBER(E91),D91&lt;E91),1,0)</f>
        <v/>
      </c>
      <c r="K91" s="3" t="n">
        <v>268</v>
      </c>
      <c r="L91" s="3" t="n">
        <v>277</v>
      </c>
      <c r="M91" s="3" t="n">
        <v>65</v>
      </c>
      <c r="N91" s="4">
        <f>IF(AND(ISNUMBER(K91),K91&gt;0),M91/K91,"")</f>
        <v/>
      </c>
      <c r="O91" s="4">
        <f>IF(AND(ISNUMBER(K91),K91&gt;0),(L91-K91)/K91,"")</f>
        <v/>
      </c>
      <c r="P91" s="3" t="n"/>
      <c r="Q91" s="3" t="inlineStr">
        <is>
          <t>LOW</t>
        </is>
      </c>
      <c r="R91" s="6">
        <f>IF(ISNUMBER(G91),MAX(0,D91-Legend!$B$2*G91/7)*H91,0)</f>
        <v/>
      </c>
    </row>
    <row r="92">
      <c r="A92" s="3" t="inlineStr">
        <is>
          <t>MENA-PAK</t>
        </is>
      </c>
      <c r="B92" s="3" t="inlineStr">
        <is>
          <t>MP-DEV-001</t>
        </is>
      </c>
      <c r="C92" s="3" t="inlineStr">
        <is>
          <t>Devices</t>
        </is>
      </c>
      <c r="D92" s="3" t="n">
        <v>222</v>
      </c>
      <c r="E92" s="3" t="n"/>
      <c r="F92" s="3" t="n">
        <v>47</v>
      </c>
      <c r="G92" s="5" t="n">
        <v>69.5</v>
      </c>
      <c r="H92" s="15" t="n">
        <v>182.27</v>
      </c>
      <c r="I92" s="5">
        <f>IF(AND(ISNUMBER(G92),G92&gt;0),D92/(G92/7),"")</f>
        <v/>
      </c>
      <c r="J92" s="3">
        <f>IF(AND(ISNUMBER(E92),D92&lt;E92),1,0)</f>
        <v/>
      </c>
      <c r="K92" s="3" t="n">
        <v>530</v>
      </c>
      <c r="L92" s="3" t="n">
        <v>519</v>
      </c>
      <c r="M92" s="3" t="n">
        <v>87</v>
      </c>
      <c r="N92" s="4">
        <f>IF(AND(ISNUMBER(K92),K92&gt;0),M92/K92,"")</f>
        <v/>
      </c>
      <c r="O92" s="4">
        <f>IF(AND(ISNUMBER(K92),K92&gt;0),(L92-K92)/K92,"")</f>
        <v/>
      </c>
      <c r="P92" s="3" t="n"/>
      <c r="Q92" s="3" t="inlineStr">
        <is>
          <t>LOW</t>
        </is>
      </c>
      <c r="R92" s="6">
        <f>IF(ISNUMBER(G92),MAX(0,D92-Legend!$B$2*G92/7)*H92,0)</f>
        <v/>
      </c>
    </row>
    <row r="93">
      <c r="A93" s="3" t="inlineStr">
        <is>
          <t>MENA-PAK</t>
        </is>
      </c>
      <c r="B93" s="3" t="inlineStr">
        <is>
          <t>MP-DEV-005</t>
        </is>
      </c>
      <c r="C93" s="3" t="inlineStr">
        <is>
          <t>Devices</t>
        </is>
      </c>
      <c r="D93" s="3" t="n">
        <v>1429</v>
      </c>
      <c r="E93" s="3" t="n">
        <v>166</v>
      </c>
      <c r="F93" s="3" t="n">
        <v>53</v>
      </c>
      <c r="G93" s="5" t="n">
        <v>147</v>
      </c>
      <c r="H93" s="15" t="n">
        <v>809.15</v>
      </c>
      <c r="I93" s="5">
        <f>IF(AND(ISNUMBER(G93),G93&gt;0),D93/(G93/7),"")</f>
        <v/>
      </c>
      <c r="J93" s="3">
        <f>IF(AND(ISNUMBER(E93),D93&lt;E93),1,0)</f>
        <v/>
      </c>
      <c r="K93" s="3" t="n">
        <v>965</v>
      </c>
      <c r="L93" s="3" t="n">
        <v>1107</v>
      </c>
      <c r="M93" s="3" t="n">
        <v>216</v>
      </c>
      <c r="N93" s="4">
        <f>IF(AND(ISNUMBER(K93),K93&gt;0),M93/K93,"")</f>
        <v/>
      </c>
      <c r="O93" s="4">
        <f>IF(AND(ISNUMBER(K93),K93&gt;0),(L93-K93)/K93,"")</f>
        <v/>
      </c>
      <c r="P93" s="3" t="n"/>
      <c r="Q93" s="3" t="inlineStr">
        <is>
          <t>LOW</t>
        </is>
      </c>
      <c r="R93" s="6">
        <f>IF(ISNUMBER(G93),MAX(0,D93-Legend!$B$2*G93/7)*H93,0)</f>
        <v/>
      </c>
    </row>
    <row r="94">
      <c r="A94" s="3" t="inlineStr">
        <is>
          <t>MENA-PAK</t>
        </is>
      </c>
      <c r="B94" s="3" t="inlineStr">
        <is>
          <t>MP-DEV-009</t>
        </is>
      </c>
      <c r="C94" s="3" t="inlineStr">
        <is>
          <t>Devices</t>
        </is>
      </c>
      <c r="D94" s="3" t="n">
        <v>121</v>
      </c>
      <c r="E94" s="3" t="n">
        <v>53</v>
      </c>
      <c r="F94" s="3" t="n">
        <v>36</v>
      </c>
      <c r="G94" s="5" t="n">
        <v>51.75</v>
      </c>
      <c r="H94" s="15" t="n">
        <v>292.6</v>
      </c>
      <c r="I94" s="5">
        <f>IF(AND(ISNUMBER(G94),G94&gt;0),D94/(G94/7),"")</f>
        <v/>
      </c>
      <c r="J94" s="3">
        <f>IF(AND(ISNUMBER(E94),D94&lt;E94),1,0)</f>
        <v/>
      </c>
      <c r="K94" s="3" t="n">
        <v>341</v>
      </c>
      <c r="L94" s="3" t="n">
        <v>376</v>
      </c>
      <c r="M94" s="3" t="n">
        <v>73</v>
      </c>
      <c r="N94" s="4">
        <f>IF(AND(ISNUMBER(K94),K94&gt;0),M94/K94,"")</f>
        <v/>
      </c>
      <c r="O94" s="4">
        <f>IF(AND(ISNUMBER(K94),K94&gt;0),(L94-K94)/K94,"")</f>
        <v/>
      </c>
      <c r="P94" s="3" t="n"/>
      <c r="Q94" s="3" t="inlineStr">
        <is>
          <t>LOW</t>
        </is>
      </c>
      <c r="R94" s="6">
        <f>IF(ISNUMBER(G94),MAX(0,D94-Legend!$B$2*G94/7)*H94,0)</f>
        <v/>
      </c>
    </row>
    <row r="95">
      <c r="A95" s="3" t="inlineStr">
        <is>
          <t>MENA-PAK</t>
        </is>
      </c>
      <c r="B95" s="3" t="inlineStr">
        <is>
          <t>MP-DEV-013</t>
        </is>
      </c>
      <c r="C95" s="3" t="inlineStr">
        <is>
          <t>Devices</t>
        </is>
      </c>
      <c r="D95" s="3" t="n">
        <v>1537</v>
      </c>
      <c r="E95" s="3" t="n">
        <v>180</v>
      </c>
      <c r="F95" s="3" t="n">
        <v>39</v>
      </c>
      <c r="G95" s="5" t="n">
        <v>201.75</v>
      </c>
      <c r="H95" s="15" t="n">
        <v>513.38</v>
      </c>
      <c r="I95" s="5">
        <f>IF(AND(ISNUMBER(G95),G95&gt;0),D95/(G95/7),"")</f>
        <v/>
      </c>
      <c r="J95" s="3">
        <f>IF(AND(ISNUMBER(E95),D95&lt;E95),1,0)</f>
        <v/>
      </c>
      <c r="K95" s="3" t="n">
        <v>1612</v>
      </c>
      <c r="L95" s="3" t="n">
        <v>1706</v>
      </c>
      <c r="M95" s="3" t="n">
        <v>304</v>
      </c>
      <c r="N95" s="4">
        <f>IF(AND(ISNUMBER(K95),K95&gt;0),M95/K95,"")</f>
        <v/>
      </c>
      <c r="O95" s="4">
        <f>IF(AND(ISNUMBER(K95),K95&gt;0),(L95-K95)/K95,"")</f>
        <v/>
      </c>
      <c r="P95" s="3" t="n"/>
      <c r="Q95" s="3" t="inlineStr">
        <is>
          <t>LOW</t>
        </is>
      </c>
      <c r="R95" s="6">
        <f>IF(ISNUMBER(G95),MAX(0,D95-Legend!$B$2*G95/7)*H95,0)</f>
        <v/>
      </c>
    </row>
    <row r="96">
      <c r="A96" s="3" t="inlineStr">
        <is>
          <t>MENA-PAK</t>
        </is>
      </c>
      <c r="B96" s="3" t="inlineStr">
        <is>
          <t>MP-DEV-017</t>
        </is>
      </c>
      <c r="C96" s="3" t="inlineStr">
        <is>
          <t>Devices</t>
        </is>
      </c>
      <c r="D96" s="3" t="n">
        <v>1269</v>
      </c>
      <c r="E96" s="3" t="n">
        <v>427</v>
      </c>
      <c r="F96" s="3" t="n">
        <v>35</v>
      </c>
      <c r="G96" s="5" t="n">
        <v>452</v>
      </c>
      <c r="H96" s="15" t="n">
        <v>529.8099999999999</v>
      </c>
      <c r="I96" s="5">
        <f>IF(AND(ISNUMBER(G96),G96&gt;0),D96/(G96/7),"")</f>
        <v/>
      </c>
      <c r="J96" s="3">
        <f>IF(AND(ISNUMBER(E96),D96&lt;E96),1,0)</f>
        <v/>
      </c>
      <c r="K96" s="3" t="n">
        <v>3776</v>
      </c>
      <c r="L96" s="3" t="n">
        <v>3025</v>
      </c>
      <c r="M96" s="3" t="n">
        <v>751</v>
      </c>
      <c r="N96" s="4">
        <f>IF(AND(ISNUMBER(K96),K96&gt;0),M96/K96,"")</f>
        <v/>
      </c>
      <c r="O96" s="4">
        <f>IF(AND(ISNUMBER(K96),K96&gt;0),(L96-K96)/K96,"")</f>
        <v/>
      </c>
      <c r="P96" s="3" t="n"/>
      <c r="Q96" s="3" t="inlineStr">
        <is>
          <t>LOW</t>
        </is>
      </c>
      <c r="R96" s="6">
        <f>IF(ISNUMBER(G96),MAX(0,D96-Legend!$B$2*G96/7)*H96,0)</f>
        <v/>
      </c>
    </row>
    <row r="97">
      <c r="A97" s="3" t="inlineStr">
        <is>
          <t>MENA-PAK</t>
        </is>
      </c>
      <c r="B97" s="3" t="inlineStr">
        <is>
          <t>MP-DEV-021</t>
        </is>
      </c>
      <c r="C97" s="3" t="inlineStr">
        <is>
          <t>Devices</t>
        </is>
      </c>
      <c r="D97" s="3" t="n">
        <v>15487</v>
      </c>
      <c r="E97" s="3" t="n">
        <v>925</v>
      </c>
      <c r="F97" s="3" t="n">
        <v>38</v>
      </c>
      <c r="G97" s="5" t="n">
        <v>643</v>
      </c>
      <c r="H97" s="15" t="n">
        <v>231.18</v>
      </c>
      <c r="I97" s="5">
        <f>IF(AND(ISNUMBER(G97),G97&gt;0),D97/(G97/7),"")</f>
        <v/>
      </c>
      <c r="J97" s="3">
        <f>IF(AND(ISNUMBER(E97),D97&lt;E97),1,0)</f>
        <v/>
      </c>
      <c r="K97" s="3" t="n">
        <v>8232</v>
      </c>
      <c r="L97" s="3" t="n">
        <v>5283</v>
      </c>
      <c r="M97" s="3" t="n">
        <v>2997</v>
      </c>
      <c r="N97" s="4">
        <f>IF(AND(ISNUMBER(K97),K97&gt;0),M97/K97,"")</f>
        <v/>
      </c>
      <c r="O97" s="4">
        <f>IF(AND(ISNUMBER(K97),K97&gt;0),(L97-K97)/K97,"")</f>
        <v/>
      </c>
      <c r="P97" s="3" t="n"/>
      <c r="Q97" s="3" t="inlineStr">
        <is>
          <t>LOW</t>
        </is>
      </c>
      <c r="R97" s="6">
        <f>IF(ISNUMBER(G97),MAX(0,D97-Legend!$B$2*G97/7)*H97,0)</f>
        <v/>
      </c>
    </row>
    <row r="98">
      <c r="A98" s="3" t="inlineStr">
        <is>
          <t>MENA-PAK</t>
        </is>
      </c>
      <c r="B98" s="3" t="inlineStr">
        <is>
          <t>MP-DEV-025</t>
        </is>
      </c>
      <c r="C98" s="3" t="inlineStr">
        <is>
          <t>Devices</t>
        </is>
      </c>
      <c r="D98" s="3" t="n">
        <v>318</v>
      </c>
      <c r="E98" s="3" t="n">
        <v>105</v>
      </c>
      <c r="F98" s="3" t="n">
        <v>39</v>
      </c>
      <c r="G98" s="5" t="n">
        <v>103.25</v>
      </c>
      <c r="H98" s="15" t="n">
        <v>94.59999999999999</v>
      </c>
      <c r="I98" s="5">
        <f>IF(AND(ISNUMBER(G98),G98&gt;0),D98/(G98/7),"")</f>
        <v/>
      </c>
      <c r="J98" s="3">
        <f>IF(AND(ISNUMBER(E98),D98&lt;E98),1,0)</f>
        <v/>
      </c>
      <c r="K98" s="3" t="n">
        <v>788</v>
      </c>
      <c r="L98" s="3" t="n">
        <v>767</v>
      </c>
      <c r="M98" s="3" t="n">
        <v>203</v>
      </c>
      <c r="N98" s="4">
        <f>IF(AND(ISNUMBER(K98),K98&gt;0),M98/K98,"")</f>
        <v/>
      </c>
      <c r="O98" s="4">
        <f>IF(AND(ISNUMBER(K98),K98&gt;0),(L98-K98)/K98,"")</f>
        <v/>
      </c>
      <c r="P98" s="3" t="n"/>
      <c r="Q98" s="3" t="inlineStr">
        <is>
          <t>LOW</t>
        </is>
      </c>
      <c r="R98" s="6">
        <f>IF(ISNUMBER(G98),MAX(0,D98-Legend!$B$2*G98/7)*H98,0)</f>
        <v/>
      </c>
    </row>
    <row r="99">
      <c r="A99" s="3" t="inlineStr">
        <is>
          <t>MENA-PAK</t>
        </is>
      </c>
      <c r="B99" s="3" t="inlineStr">
        <is>
          <t>MP-DEV-029</t>
        </is>
      </c>
      <c r="C99" s="3" t="inlineStr">
        <is>
          <t>Devices</t>
        </is>
      </c>
      <c r="D99" s="3" t="n">
        <v>813</v>
      </c>
      <c r="E99" s="3" t="n">
        <v>238</v>
      </c>
      <c r="F99" s="3" t="n">
        <v>47</v>
      </c>
      <c r="G99" s="5" t="n">
        <v>198</v>
      </c>
      <c r="H99" s="15" t="n">
        <v>124.26</v>
      </c>
      <c r="I99" s="5">
        <f>IF(AND(ISNUMBER(G99),G99&gt;0),D99/(G99/7),"")</f>
        <v/>
      </c>
      <c r="J99" s="3">
        <f>IF(AND(ISNUMBER(E99),D99&lt;E99),1,0)</f>
        <v/>
      </c>
      <c r="K99" s="3" t="n">
        <v>1778</v>
      </c>
      <c r="L99" s="3" t="n">
        <v>1694</v>
      </c>
      <c r="M99" s="3" t="n">
        <v>254</v>
      </c>
      <c r="N99" s="4">
        <f>IF(AND(ISNUMBER(K99),K99&gt;0),M99/K99,"")</f>
        <v/>
      </c>
      <c r="O99" s="4">
        <f>IF(AND(ISNUMBER(K99),K99&gt;0),(L99-K99)/K99,"")</f>
        <v/>
      </c>
      <c r="P99" s="3" t="n"/>
      <c r="Q99" s="3" t="inlineStr">
        <is>
          <t>LOW</t>
        </is>
      </c>
      <c r="R99" s="6">
        <f>IF(ISNUMBER(G99),MAX(0,D99-Legend!$B$2*G99/7)*H99,0)</f>
        <v/>
      </c>
    </row>
    <row r="100">
      <c r="A100" s="3" t="inlineStr">
        <is>
          <t>MENA-PAK</t>
        </is>
      </c>
      <c r="B100" s="3" t="inlineStr">
        <is>
          <t>MP-DEV-033</t>
        </is>
      </c>
      <c r="C100" s="3" t="inlineStr">
        <is>
          <t>Devices</t>
        </is>
      </c>
      <c r="D100" s="3" t="n">
        <v>382</v>
      </c>
      <c r="E100" s="3" t="n">
        <v>34</v>
      </c>
      <c r="F100" s="3" t="n">
        <v>31</v>
      </c>
      <c r="G100" s="5" t="n">
        <v>38</v>
      </c>
      <c r="H100" s="15" t="n">
        <v>96.89</v>
      </c>
      <c r="I100" s="5">
        <f>IF(AND(ISNUMBER(G100),G100&gt;0),D100/(G100/7),"")</f>
        <v/>
      </c>
      <c r="J100" s="3">
        <f>IF(AND(ISNUMBER(E100),D100&lt;E100),1,0)</f>
        <v/>
      </c>
      <c r="K100" s="3" t="n">
        <v>242</v>
      </c>
      <c r="L100" s="3" t="n">
        <v>272</v>
      </c>
      <c r="M100" s="3" t="n">
        <v>66</v>
      </c>
      <c r="N100" s="4">
        <f>IF(AND(ISNUMBER(K100),K100&gt;0),M100/K100,"")</f>
        <v/>
      </c>
      <c r="O100" s="4">
        <f>IF(AND(ISNUMBER(K100),K100&gt;0),(L100-K100)/K100,"")</f>
        <v/>
      </c>
      <c r="P100" s="3" t="n"/>
      <c r="Q100" s="3" t="inlineStr">
        <is>
          <t>LOW</t>
        </is>
      </c>
      <c r="R100" s="6">
        <f>IF(ISNUMBER(G100),MAX(0,D100-Legend!$B$2*G100/7)*H100,0)</f>
        <v/>
      </c>
    </row>
    <row r="101">
      <c r="A101" s="3" t="inlineStr">
        <is>
          <t>MENA-PAK</t>
        </is>
      </c>
      <c r="B101" s="3" t="inlineStr">
        <is>
          <t>MP-NET-011</t>
        </is>
      </c>
      <c r="C101" s="3" t="inlineStr">
        <is>
          <t>Network</t>
        </is>
      </c>
      <c r="D101" s="3" t="n">
        <v>571</v>
      </c>
      <c r="E101" s="3" t="n"/>
      <c r="F101" s="3" t="n">
        <v>51</v>
      </c>
      <c r="G101" s="5" t="n">
        <v>52.5</v>
      </c>
      <c r="H101" s="15" t="n">
        <v>224.79</v>
      </c>
      <c r="I101" s="5">
        <f>IF(AND(ISNUMBER(G101),G101&gt;0),D101/(G101/7),"")</f>
        <v/>
      </c>
      <c r="J101" s="3">
        <f>IF(AND(ISNUMBER(E101),D101&lt;E101),1,0)</f>
        <v/>
      </c>
      <c r="K101" s="3" t="n">
        <v>394</v>
      </c>
      <c r="L101" s="3" t="n">
        <v>435</v>
      </c>
      <c r="M101" s="3" t="n">
        <v>135</v>
      </c>
      <c r="N101" s="4">
        <f>IF(AND(ISNUMBER(K101),K101&gt;0),M101/K101,"")</f>
        <v/>
      </c>
      <c r="O101" s="4">
        <f>IF(AND(ISNUMBER(K101),K101&gt;0),(L101-K101)/K101,"")</f>
        <v/>
      </c>
      <c r="P101" s="3" t="n"/>
      <c r="Q101" s="3" t="inlineStr">
        <is>
          <t>LOW</t>
        </is>
      </c>
      <c r="R101" s="6">
        <f>IF(ISNUMBER(G101),MAX(0,D101-Legend!$B$2*G101/7)*H101,0)</f>
        <v/>
      </c>
    </row>
    <row r="102">
      <c r="A102" s="3" t="inlineStr">
        <is>
          <t>MENA-PAK</t>
        </is>
      </c>
      <c r="B102" s="3" t="inlineStr">
        <is>
          <t>MP-NET-015</t>
        </is>
      </c>
      <c r="C102" s="3" t="inlineStr">
        <is>
          <t>Network</t>
        </is>
      </c>
      <c r="D102" s="3" t="n">
        <v>212</v>
      </c>
      <c r="E102" s="3" t="n">
        <v>76</v>
      </c>
      <c r="F102" s="3" t="n">
        <v>53</v>
      </c>
      <c r="G102" s="5" t="n">
        <v>73.25</v>
      </c>
      <c r="H102" s="15" t="n">
        <v>882.41</v>
      </c>
      <c r="I102" s="5">
        <f>IF(AND(ISNUMBER(G102),G102&gt;0),D102/(G102/7),"")</f>
        <v/>
      </c>
      <c r="J102" s="3">
        <f>IF(AND(ISNUMBER(E102),D102&lt;E102),1,0)</f>
        <v/>
      </c>
      <c r="K102" s="3" t="n">
        <v>565</v>
      </c>
      <c r="L102" s="3" t="n">
        <v>539</v>
      </c>
      <c r="M102" s="3" t="n">
        <v>130</v>
      </c>
      <c r="N102" s="4">
        <f>IF(AND(ISNUMBER(K102),K102&gt;0),M102/K102,"")</f>
        <v/>
      </c>
      <c r="O102" s="4">
        <f>IF(AND(ISNUMBER(K102),K102&gt;0),(L102-K102)/K102,"")</f>
        <v/>
      </c>
      <c r="P102" s="3" t="n">
        <v>6</v>
      </c>
      <c r="Q102" s="16" t="inlineStr">
        <is>
          <t>HIGH</t>
        </is>
      </c>
      <c r="R102" s="6">
        <f>IF(ISNUMBER(G102),MAX(0,D102-Legend!$B$2*G102/7)*H102,0)</f>
        <v/>
      </c>
    </row>
    <row r="103">
      <c r="A103" s="3" t="inlineStr">
        <is>
          <t>MENA-PAK</t>
        </is>
      </c>
      <c r="B103" s="3" t="inlineStr">
        <is>
          <t>MP-NET-019</t>
        </is>
      </c>
      <c r="C103" s="3" t="inlineStr">
        <is>
          <t>Network</t>
        </is>
      </c>
      <c r="D103" s="3" t="n">
        <v>738</v>
      </c>
      <c r="E103" s="3" t="n">
        <v>217</v>
      </c>
      <c r="F103" s="3" t="n">
        <v>42</v>
      </c>
      <c r="G103" s="5" t="n">
        <v>114.25</v>
      </c>
      <c r="H103" s="15" t="n">
        <v>896.96</v>
      </c>
      <c r="I103" s="5">
        <f>IF(AND(ISNUMBER(G103),G103&gt;0),D103/(G103/7),"")</f>
        <v/>
      </c>
      <c r="J103" s="3">
        <f>IF(AND(ISNUMBER(E103),D103&lt;E103),1,0)</f>
        <v/>
      </c>
      <c r="K103" s="3" t="n">
        <v>909</v>
      </c>
      <c r="L103" s="3" t="n">
        <v>971</v>
      </c>
      <c r="M103" s="3" t="n">
        <v>180</v>
      </c>
      <c r="N103" s="4">
        <f>IF(AND(ISNUMBER(K103),K103&gt;0),M103/K103,"")</f>
        <v/>
      </c>
      <c r="O103" s="4">
        <f>IF(AND(ISNUMBER(K103),K103&gt;0),(L103-K103)/K103,"")</f>
        <v/>
      </c>
      <c r="P103" s="3" t="n"/>
      <c r="Q103" s="3" t="inlineStr">
        <is>
          <t>LOW</t>
        </is>
      </c>
      <c r="R103" s="6">
        <f>IF(ISNUMBER(G103),MAX(0,D103-Legend!$B$2*G103/7)*H103,0)</f>
        <v/>
      </c>
    </row>
    <row r="104">
      <c r="A104" s="3" t="inlineStr">
        <is>
          <t>MENA-PAK</t>
        </is>
      </c>
      <c r="B104" s="3" t="inlineStr">
        <is>
          <t>MP-NET-023</t>
        </is>
      </c>
      <c r="C104" s="3" t="inlineStr">
        <is>
          <t>Network</t>
        </is>
      </c>
      <c r="D104" s="3" t="n">
        <v>1730</v>
      </c>
      <c r="E104" s="3" t="n">
        <v>249</v>
      </c>
      <c r="F104" s="3" t="n">
        <v>48</v>
      </c>
      <c r="G104" s="5" t="n">
        <v>183.25</v>
      </c>
      <c r="H104" s="15" t="n">
        <v>467.87</v>
      </c>
      <c r="I104" s="5">
        <f>IF(AND(ISNUMBER(G104),G104&gt;0),D104/(G104/7),"")</f>
        <v/>
      </c>
      <c r="J104" s="3">
        <f>IF(AND(ISNUMBER(E104),D104&lt;E104),1,0)</f>
        <v/>
      </c>
      <c r="K104" s="3" t="n">
        <v>1104</v>
      </c>
      <c r="L104" s="3" t="n">
        <v>1295</v>
      </c>
      <c r="M104" s="3" t="n">
        <v>425</v>
      </c>
      <c r="N104" s="4">
        <f>IF(AND(ISNUMBER(K104),K104&gt;0),M104/K104,"")</f>
        <v/>
      </c>
      <c r="O104" s="4">
        <f>IF(AND(ISNUMBER(K104),K104&gt;0),(L104-K104)/K104,"")</f>
        <v/>
      </c>
      <c r="P104" s="3" t="n"/>
      <c r="Q104" s="3" t="inlineStr">
        <is>
          <t>LOW</t>
        </is>
      </c>
      <c r="R104" s="6">
        <f>IF(ISNUMBER(G104),MAX(0,D104-Legend!$B$2*G104/7)*H104,0)</f>
        <v/>
      </c>
    </row>
    <row r="105">
      <c r="A105" s="3" t="inlineStr">
        <is>
          <t>MENA-PAK</t>
        </is>
      </c>
      <c r="B105" s="3" t="inlineStr">
        <is>
          <t>MP-NET-027</t>
        </is>
      </c>
      <c r="C105" s="3" t="inlineStr">
        <is>
          <t>Network</t>
        </is>
      </c>
      <c r="D105" s="3" t="n">
        <v>355</v>
      </c>
      <c r="E105" s="3" t="n">
        <v>162</v>
      </c>
      <c r="F105" s="3" t="n">
        <v>52</v>
      </c>
      <c r="G105" s="5" t="n">
        <v>106.25</v>
      </c>
      <c r="H105" s="15" t="n">
        <v>121.91</v>
      </c>
      <c r="I105" s="5">
        <f>IF(AND(ISNUMBER(G105),G105&gt;0),D105/(G105/7),"")</f>
        <v/>
      </c>
      <c r="J105" s="3">
        <f>IF(AND(ISNUMBER(E105),D105&lt;E105),1,0)</f>
        <v/>
      </c>
      <c r="K105" s="3" t="n">
        <v>1016</v>
      </c>
      <c r="L105" s="3" t="n">
        <v>938</v>
      </c>
      <c r="M105" s="3" t="n">
        <v>336</v>
      </c>
      <c r="N105" s="4">
        <f>IF(AND(ISNUMBER(K105),K105&gt;0),M105/K105,"")</f>
        <v/>
      </c>
      <c r="O105" s="4">
        <f>IF(AND(ISNUMBER(K105),K105&gt;0),(L105-K105)/K105,"")</f>
        <v/>
      </c>
      <c r="P105" s="3" t="n"/>
      <c r="Q105" s="3" t="inlineStr">
        <is>
          <t>LOW</t>
        </is>
      </c>
      <c r="R105" s="6">
        <f>IF(ISNUMBER(G105),MAX(0,D105-Legend!$B$2*G105/7)*H105,0)</f>
        <v/>
      </c>
    </row>
    <row r="106">
      <c r="A106" s="3" t="inlineStr">
        <is>
          <t>MENA-PAK</t>
        </is>
      </c>
      <c r="B106" s="3" t="inlineStr">
        <is>
          <t>MP-NET-031</t>
        </is>
      </c>
      <c r="C106" s="3" t="inlineStr">
        <is>
          <t>Network</t>
        </is>
      </c>
      <c r="D106" s="3" t="n">
        <v>266</v>
      </c>
      <c r="E106" s="3" t="n">
        <v>23</v>
      </c>
      <c r="F106" s="3" t="n">
        <v>34</v>
      </c>
      <c r="G106" s="5" t="n">
        <v>21.25</v>
      </c>
      <c r="H106" s="15" t="n">
        <v>685.03</v>
      </c>
      <c r="I106" s="5">
        <f>IF(AND(ISNUMBER(G106),G106&gt;0),D106/(G106/7),"")</f>
        <v/>
      </c>
      <c r="J106" s="3">
        <f>IF(AND(ISNUMBER(E106),D106&lt;E106),1,0)</f>
        <v/>
      </c>
      <c r="K106" s="3" t="n">
        <v>180</v>
      </c>
      <c r="L106" s="3" t="n">
        <v>185</v>
      </c>
      <c r="M106" s="3" t="n">
        <v>57</v>
      </c>
      <c r="N106" s="4">
        <f>IF(AND(ISNUMBER(K106),K106&gt;0),M106/K106,"")</f>
        <v/>
      </c>
      <c r="O106" s="4">
        <f>IF(AND(ISNUMBER(K106),K106&gt;0),(L106-K106)/K106,"")</f>
        <v/>
      </c>
      <c r="P106" s="3" t="n"/>
      <c r="Q106" s="3" t="inlineStr">
        <is>
          <t>LOW</t>
        </is>
      </c>
      <c r="R106" s="6">
        <f>IF(ISNUMBER(G106),MAX(0,D106-Legend!$B$2*G106/7)*H106,0)</f>
        <v/>
      </c>
    </row>
    <row r="107">
      <c r="A107" s="3" t="inlineStr">
        <is>
          <t>MENA-PAK</t>
        </is>
      </c>
      <c r="B107" s="3" t="inlineStr">
        <is>
          <t>MP-NET-035</t>
        </is>
      </c>
      <c r="C107" s="3" t="inlineStr">
        <is>
          <t>Network</t>
        </is>
      </c>
      <c r="D107" s="3" t="n">
        <v>1891</v>
      </c>
      <c r="E107" s="3" t="n">
        <v>108</v>
      </c>
      <c r="F107" s="3" t="n">
        <v>36</v>
      </c>
      <c r="G107" s="5" t="n">
        <v>117.5</v>
      </c>
      <c r="H107" s="15" t="n">
        <v>530.04</v>
      </c>
      <c r="I107" s="5">
        <f>IF(AND(ISNUMBER(G107),G107&gt;0),D107/(G107/7),"")</f>
        <v/>
      </c>
      <c r="J107" s="3">
        <f>IF(AND(ISNUMBER(E107),D107&lt;E107),1,0)</f>
        <v/>
      </c>
      <c r="K107" s="3" t="n">
        <v>989</v>
      </c>
      <c r="L107" s="3" t="n">
        <v>914</v>
      </c>
      <c r="M107" s="3" t="n">
        <v>393</v>
      </c>
      <c r="N107" s="4">
        <f>IF(AND(ISNUMBER(K107),K107&gt;0),M107/K107,"")</f>
        <v/>
      </c>
      <c r="O107" s="4">
        <f>IF(AND(ISNUMBER(K107),K107&gt;0),(L107-K107)/K107,"")</f>
        <v/>
      </c>
      <c r="P107" s="3" t="n"/>
      <c r="Q107" s="3" t="inlineStr">
        <is>
          <t>LOW</t>
        </is>
      </c>
      <c r="R107" s="6">
        <f>IF(ISNUMBER(G107),MAX(0,D107-Legend!$B$2*G107/7)*H107,0)</f>
        <v/>
      </c>
    </row>
    <row r="108">
      <c r="A108" s="3" t="inlineStr">
        <is>
          <t>MENA-PAK</t>
        </is>
      </c>
      <c r="B108" s="3" t="inlineStr">
        <is>
          <t>MP-STO-004</t>
        </is>
      </c>
      <c r="C108" s="3" t="inlineStr">
        <is>
          <t>Storage</t>
        </is>
      </c>
      <c r="D108" s="3" t="n">
        <v>4401</v>
      </c>
      <c r="E108" s="3" t="n">
        <v>164</v>
      </c>
      <c r="F108" s="3" t="n">
        <v>48</v>
      </c>
      <c r="G108" s="5" t="n">
        <v>151</v>
      </c>
      <c r="H108" s="15" t="n">
        <v>112.73</v>
      </c>
      <c r="I108" s="5">
        <f>IF(AND(ISNUMBER(G108),G108&gt;0),D108/(G108/7),"")</f>
        <v/>
      </c>
      <c r="J108" s="3">
        <f>IF(AND(ISNUMBER(E108),D108&lt;E108),1,0)</f>
        <v/>
      </c>
      <c r="K108" s="3" t="n">
        <v>1010</v>
      </c>
      <c r="L108" s="3" t="n">
        <v>1105</v>
      </c>
      <c r="M108" s="3" t="n">
        <v>365</v>
      </c>
      <c r="N108" s="4">
        <f>IF(AND(ISNUMBER(K108),K108&gt;0),M108/K108,"")</f>
        <v/>
      </c>
      <c r="O108" s="4">
        <f>IF(AND(ISNUMBER(K108),K108&gt;0),(L108-K108)/K108,"")</f>
        <v/>
      </c>
      <c r="P108" s="3" t="n"/>
      <c r="Q108" s="3" t="inlineStr">
        <is>
          <t>LOW</t>
        </is>
      </c>
      <c r="R108" s="6">
        <f>IF(ISNUMBER(G108),MAX(0,D108-Legend!$B$2*G108/7)*H108,0)</f>
        <v/>
      </c>
    </row>
    <row r="109">
      <c r="A109" s="3" t="inlineStr">
        <is>
          <t>MENA-PAK</t>
        </is>
      </c>
      <c r="B109" s="3" t="inlineStr">
        <is>
          <t>MP-STO-008</t>
        </is>
      </c>
      <c r="C109" s="3" t="inlineStr">
        <is>
          <t>Storage</t>
        </is>
      </c>
      <c r="D109" s="3" t="n">
        <v>1697</v>
      </c>
      <c r="E109" s="3" t="n">
        <v>304</v>
      </c>
      <c r="F109" s="3" t="n">
        <v>39</v>
      </c>
      <c r="G109" s="5" t="n">
        <v>381.5</v>
      </c>
      <c r="H109" s="15" t="n">
        <v>779.71</v>
      </c>
      <c r="I109" s="5">
        <f>IF(AND(ISNUMBER(G109),G109&gt;0),D109/(G109/7),"")</f>
        <v/>
      </c>
      <c r="J109" s="3">
        <f>IF(AND(ISNUMBER(E109),D109&lt;E109),1,0)</f>
        <v/>
      </c>
      <c r="K109" s="3" t="n">
        <v>3451</v>
      </c>
      <c r="L109" s="3" t="n">
        <v>3003</v>
      </c>
      <c r="M109" s="3" t="n">
        <v>676</v>
      </c>
      <c r="N109" s="4">
        <f>IF(AND(ISNUMBER(K109),K109&gt;0),M109/K109,"")</f>
        <v/>
      </c>
      <c r="O109" s="4">
        <f>IF(AND(ISNUMBER(K109),K109&gt;0),(L109-K109)/K109,"")</f>
        <v/>
      </c>
      <c r="P109" s="3" t="n"/>
      <c r="Q109" s="3" t="inlineStr">
        <is>
          <t>LOW</t>
        </is>
      </c>
      <c r="R109" s="6">
        <f>IF(ISNUMBER(G109),MAX(0,D109-Legend!$B$2*G109/7)*H109,0)</f>
        <v/>
      </c>
    </row>
    <row r="110">
      <c r="A110" s="3" t="inlineStr">
        <is>
          <t>MENA-PAK</t>
        </is>
      </c>
      <c r="B110" s="3" t="inlineStr">
        <is>
          <t>MP-STO-012</t>
        </is>
      </c>
      <c r="C110" s="3" t="inlineStr">
        <is>
          <t>Storage</t>
        </is>
      </c>
      <c r="D110" s="3" t="n">
        <v>1208</v>
      </c>
      <c r="E110" s="3" t="n">
        <v>168</v>
      </c>
      <c r="F110" s="3" t="n">
        <v>30</v>
      </c>
      <c r="G110" s="5" t="n">
        <v>145.5</v>
      </c>
      <c r="H110" s="15" t="n">
        <v>542.55</v>
      </c>
      <c r="I110" s="5">
        <f>IF(AND(ISNUMBER(G110),G110&gt;0),D110/(G110/7),"")</f>
        <v/>
      </c>
      <c r="J110" s="3">
        <f>IF(AND(ISNUMBER(E110),D110&lt;E110),1,0)</f>
        <v/>
      </c>
      <c r="K110" s="3" t="n">
        <v>1340</v>
      </c>
      <c r="L110" s="3" t="n">
        <v>1239</v>
      </c>
      <c r="M110" s="3" t="n">
        <v>311</v>
      </c>
      <c r="N110" s="4">
        <f>IF(AND(ISNUMBER(K110),K110&gt;0),M110/K110,"")</f>
        <v/>
      </c>
      <c r="O110" s="4">
        <f>IF(AND(ISNUMBER(K110),K110&gt;0),(L110-K110)/K110,"")</f>
        <v/>
      </c>
      <c r="P110" s="3" t="n"/>
      <c r="Q110" s="3" t="inlineStr">
        <is>
          <t>LOW</t>
        </is>
      </c>
      <c r="R110" s="6">
        <f>IF(ISNUMBER(G110),MAX(0,D110-Legend!$B$2*G110/7)*H110,0)</f>
        <v/>
      </c>
    </row>
    <row r="111">
      <c r="A111" s="3" t="inlineStr">
        <is>
          <t>MENA-PAK</t>
        </is>
      </c>
      <c r="B111" s="3" t="inlineStr">
        <is>
          <t>MP-STO-016</t>
        </is>
      </c>
      <c r="C111" s="3" t="inlineStr">
        <is>
          <t>Storage</t>
        </is>
      </c>
      <c r="D111" s="3" t="n">
        <v>1504</v>
      </c>
      <c r="E111" s="3" t="n">
        <v>328</v>
      </c>
      <c r="F111" s="3" t="n">
        <v>27</v>
      </c>
      <c r="G111" s="5" t="n">
        <v>392.25</v>
      </c>
      <c r="H111" s="15" t="n">
        <v>812.8200000000001</v>
      </c>
      <c r="I111" s="5">
        <f>IF(AND(ISNUMBER(G111),G111&gt;0),D111/(G111/7),"")</f>
        <v/>
      </c>
      <c r="J111" s="3">
        <f>IF(AND(ISNUMBER(E111),D111&lt;E111),1,0)</f>
        <v/>
      </c>
      <c r="K111" s="3" t="n">
        <v>2598</v>
      </c>
      <c r="L111" s="3" t="n">
        <v>2702</v>
      </c>
      <c r="M111" s="3" t="n">
        <v>494</v>
      </c>
      <c r="N111" s="4">
        <f>IF(AND(ISNUMBER(K111),K111&gt;0),M111/K111,"")</f>
        <v/>
      </c>
      <c r="O111" s="4">
        <f>IF(AND(ISNUMBER(K111),K111&gt;0),(L111-K111)/K111,"")</f>
        <v/>
      </c>
      <c r="P111" s="3" t="n">
        <v>5</v>
      </c>
      <c r="Q111" s="17" t="inlineStr">
        <is>
          <t>MEDIUM</t>
        </is>
      </c>
      <c r="R111" s="6">
        <f>IF(ISNUMBER(G111),MAX(0,D111-Legend!$B$2*G111/7)*H111,0)</f>
        <v/>
      </c>
    </row>
    <row r="112">
      <c r="A112" s="3" t="inlineStr">
        <is>
          <t>MENA-PAK</t>
        </is>
      </c>
      <c r="B112" s="3" t="inlineStr">
        <is>
          <t>MP-STO-020</t>
        </is>
      </c>
      <c r="C112" s="3" t="inlineStr">
        <is>
          <t>Storage</t>
        </is>
      </c>
      <c r="D112" s="3" t="n">
        <v>2468</v>
      </c>
      <c r="E112" s="3" t="n">
        <v>398</v>
      </c>
      <c r="F112" s="3" t="n">
        <v>45</v>
      </c>
      <c r="G112" s="5" t="n">
        <v>293.75</v>
      </c>
      <c r="H112" s="15" t="n">
        <v>372.8</v>
      </c>
      <c r="I112" s="5">
        <f>IF(AND(ISNUMBER(G112),G112&gt;0),D112/(G112/7),"")</f>
        <v/>
      </c>
      <c r="J112" s="3">
        <f>IF(AND(ISNUMBER(E112),D112&lt;E112),1,0)</f>
        <v/>
      </c>
      <c r="K112" s="3" t="n">
        <v>2853</v>
      </c>
      <c r="L112" s="3" t="n">
        <v>2586</v>
      </c>
      <c r="M112" s="3" t="n">
        <v>643</v>
      </c>
      <c r="N112" s="4">
        <f>IF(AND(ISNUMBER(K112),K112&gt;0),M112/K112,"")</f>
        <v/>
      </c>
      <c r="O112" s="4">
        <f>IF(AND(ISNUMBER(K112),K112&gt;0),(L112-K112)/K112,"")</f>
        <v/>
      </c>
      <c r="P112" s="3" t="n"/>
      <c r="Q112" s="3" t="inlineStr">
        <is>
          <t>LOW</t>
        </is>
      </c>
      <c r="R112" s="6">
        <f>IF(ISNUMBER(G112),MAX(0,D112-Legend!$B$2*G112/7)*H112,0)</f>
        <v/>
      </c>
    </row>
    <row r="113">
      <c r="A113" s="3" t="inlineStr">
        <is>
          <t>MENA-PAK</t>
        </is>
      </c>
      <c r="B113" s="3" t="inlineStr">
        <is>
          <t>MP-STO-024</t>
        </is>
      </c>
      <c r="C113" s="3" t="inlineStr">
        <is>
          <t>Storage</t>
        </is>
      </c>
      <c r="D113" s="3" t="n">
        <v>539</v>
      </c>
      <c r="E113" s="3" t="n">
        <v>67</v>
      </c>
      <c r="F113" s="3" t="n">
        <v>39</v>
      </c>
      <c r="G113" s="5" t="n">
        <v>56</v>
      </c>
      <c r="H113" s="15" t="n">
        <v>381.25</v>
      </c>
      <c r="I113" s="5">
        <f>IF(AND(ISNUMBER(G113),G113&gt;0),D113/(G113/7),"")</f>
        <v/>
      </c>
      <c r="J113" s="3">
        <f>IF(AND(ISNUMBER(E113),D113&lt;E113),1,0)</f>
        <v/>
      </c>
      <c r="K113" s="3" t="n">
        <v>370</v>
      </c>
      <c r="L113" s="3" t="n">
        <v>385</v>
      </c>
      <c r="M113" s="3" t="n">
        <v>75</v>
      </c>
      <c r="N113" s="4">
        <f>IF(AND(ISNUMBER(K113),K113&gt;0),M113/K113,"")</f>
        <v/>
      </c>
      <c r="O113" s="4">
        <f>IF(AND(ISNUMBER(K113),K113&gt;0),(L113-K113)/K113,"")</f>
        <v/>
      </c>
      <c r="P113" s="3" t="n"/>
      <c r="Q113" s="3" t="inlineStr">
        <is>
          <t>LOW</t>
        </is>
      </c>
      <c r="R113" s="6">
        <f>IF(ISNUMBER(G113),MAX(0,D113-Legend!$B$2*G113/7)*H113,0)</f>
        <v/>
      </c>
    </row>
    <row r="114">
      <c r="A114" s="3" t="inlineStr">
        <is>
          <t>MENA-PAK</t>
        </is>
      </c>
      <c r="B114" s="3" t="inlineStr">
        <is>
          <t>MP-STO-028</t>
        </is>
      </c>
      <c r="C114" s="3" t="inlineStr">
        <is>
          <t>Storage</t>
        </is>
      </c>
      <c r="D114" s="3" t="n">
        <v>237</v>
      </c>
      <c r="E114" s="3" t="n">
        <v>56</v>
      </c>
      <c r="F114" s="3" t="n">
        <v>50</v>
      </c>
      <c r="G114" s="5" t="n">
        <v>54.75</v>
      </c>
      <c r="H114" s="15" t="n">
        <v>417.75</v>
      </c>
      <c r="I114" s="5">
        <f>IF(AND(ISNUMBER(G114),G114&gt;0),D114/(G114/7),"")</f>
        <v/>
      </c>
      <c r="J114" s="3">
        <f>IF(AND(ISNUMBER(E114),D114&lt;E114),1,0)</f>
        <v/>
      </c>
      <c r="K114" s="3" t="n">
        <v>428</v>
      </c>
      <c r="L114" s="3" t="n">
        <v>476</v>
      </c>
      <c r="M114" s="3" t="n">
        <v>76</v>
      </c>
      <c r="N114" s="4">
        <f>IF(AND(ISNUMBER(K114),K114&gt;0),M114/K114,"")</f>
        <v/>
      </c>
      <c r="O114" s="4">
        <f>IF(AND(ISNUMBER(K114),K114&gt;0),(L114-K114)/K114,"")</f>
        <v/>
      </c>
      <c r="P114" s="3" t="n">
        <v>6</v>
      </c>
      <c r="Q114" s="16" t="inlineStr">
        <is>
          <t>HIGH</t>
        </is>
      </c>
      <c r="R114" s="6">
        <f>IF(ISNUMBER(G114),MAX(0,D114-Legend!$B$2*G114/7)*H114,0)</f>
        <v/>
      </c>
    </row>
    <row r="115">
      <c r="A115" s="3" t="inlineStr">
        <is>
          <t>MENA-PAK</t>
        </is>
      </c>
      <c r="B115" s="3" t="inlineStr">
        <is>
          <t>MP-STO-032</t>
        </is>
      </c>
      <c r="C115" s="3" t="inlineStr">
        <is>
          <t>Storage</t>
        </is>
      </c>
      <c r="D115" s="3" t="n">
        <v>321</v>
      </c>
      <c r="E115" s="3" t="n">
        <v>306</v>
      </c>
      <c r="F115" s="3" t="n">
        <v>56</v>
      </c>
      <c r="G115" s="5" t="n">
        <v>197</v>
      </c>
      <c r="H115" s="15" t="n">
        <v>708.83</v>
      </c>
      <c r="I115" s="5">
        <f>IF(AND(ISNUMBER(G115),G115&gt;0),D115/(G115/7),"")</f>
        <v/>
      </c>
      <c r="J115" s="3">
        <f>IF(AND(ISNUMBER(E115),D115&lt;E115),1,0)</f>
        <v/>
      </c>
      <c r="K115" s="3" t="n">
        <v>1993</v>
      </c>
      <c r="L115" s="3" t="n">
        <v>1769</v>
      </c>
      <c r="M115" s="3" t="n">
        <v>312</v>
      </c>
      <c r="N115" s="4">
        <f>IF(AND(ISNUMBER(K115),K115&gt;0),M115/K115,"")</f>
        <v/>
      </c>
      <c r="O115" s="4">
        <f>IF(AND(ISNUMBER(K115),K115&gt;0),(L115-K115)/K115,"")</f>
        <v/>
      </c>
      <c r="P115" s="3" t="n"/>
      <c r="Q115" s="3" t="inlineStr">
        <is>
          <t>LOW</t>
        </is>
      </c>
      <c r="R115" s="6">
        <f>IF(ISNUMBER(G115),MAX(0,D115-Legend!$B$2*G115/7)*H115,0)</f>
        <v/>
      </c>
    </row>
    <row r="116">
      <c r="A116" s="3" t="inlineStr">
        <is>
          <t>South Africa</t>
        </is>
      </c>
      <c r="B116" s="3" t="inlineStr">
        <is>
          <t>ZA-ACC-002</t>
        </is>
      </c>
      <c r="C116" s="3" t="inlineStr">
        <is>
          <t>Accessories</t>
        </is>
      </c>
      <c r="D116" s="3" t="n">
        <v>624</v>
      </c>
      <c r="E116" s="3" t="n">
        <v>116</v>
      </c>
      <c r="F116" s="3" t="n">
        <v>53</v>
      </c>
      <c r="G116" s="5" t="n">
        <v>110</v>
      </c>
      <c r="H116" s="15" t="n">
        <v>542.8</v>
      </c>
      <c r="I116" s="5">
        <f>IF(AND(ISNUMBER(G116),G116&gt;0),D116/(G116/7),"")</f>
        <v/>
      </c>
      <c r="J116" s="3">
        <f>IF(AND(ISNUMBER(E116),D116&lt;E116),1,0)</f>
        <v/>
      </c>
      <c r="K116" s="3" t="n">
        <v>910</v>
      </c>
      <c r="L116" s="3" t="n">
        <v>936</v>
      </c>
      <c r="M116" s="3" t="n">
        <v>186</v>
      </c>
      <c r="N116" s="4">
        <f>IF(AND(ISNUMBER(K116),K116&gt;0),M116/K116,"")</f>
        <v/>
      </c>
      <c r="O116" s="4">
        <f>IF(AND(ISNUMBER(K116),K116&gt;0),(L116-K116)/K116,"")</f>
        <v/>
      </c>
      <c r="P116" s="3" t="n"/>
      <c r="Q116" s="3" t="inlineStr">
        <is>
          <t>LOW</t>
        </is>
      </c>
      <c r="R116" s="6">
        <f>IF(ISNUMBER(G116),MAX(0,D116-Legend!$B$2*G116/7)*H116,0)</f>
        <v/>
      </c>
    </row>
    <row r="117">
      <c r="A117" s="3" t="inlineStr">
        <is>
          <t>South Africa</t>
        </is>
      </c>
      <c r="B117" s="3" t="inlineStr">
        <is>
          <t>ZA-ACC-006</t>
        </is>
      </c>
      <c r="C117" s="3" t="inlineStr">
        <is>
          <t>Accessories</t>
        </is>
      </c>
      <c r="D117" s="3" t="n">
        <v>358</v>
      </c>
      <c r="E117" s="3" t="n"/>
      <c r="F117" s="3" t="n">
        <v>42</v>
      </c>
      <c r="G117" s="5" t="n">
        <v>52.75</v>
      </c>
      <c r="H117" s="15" t="n">
        <v>737.1799999999999</v>
      </c>
      <c r="I117" s="5">
        <f>IF(AND(ISNUMBER(G117),G117&gt;0),D117/(G117/7),"")</f>
        <v/>
      </c>
      <c r="J117" s="3">
        <f>IF(AND(ISNUMBER(E117),D117&lt;E117),1,0)</f>
        <v/>
      </c>
      <c r="K117" s="3" t="n">
        <v>403</v>
      </c>
      <c r="L117" s="3" t="n">
        <v>421</v>
      </c>
      <c r="M117" s="3" t="n">
        <v>82</v>
      </c>
      <c r="N117" s="4">
        <f>IF(AND(ISNUMBER(K117),K117&gt;0),M117/K117,"")</f>
        <v/>
      </c>
      <c r="O117" s="4">
        <f>IF(AND(ISNUMBER(K117),K117&gt;0),(L117-K117)/K117,"")</f>
        <v/>
      </c>
      <c r="P117" s="3" t="n"/>
      <c r="Q117" s="3" t="inlineStr">
        <is>
          <t>LOW</t>
        </is>
      </c>
      <c r="R117" s="6">
        <f>IF(ISNUMBER(G117),MAX(0,D117-Legend!$B$2*G117/7)*H117,0)</f>
        <v/>
      </c>
    </row>
    <row r="118">
      <c r="A118" s="3" t="inlineStr">
        <is>
          <t>South Africa</t>
        </is>
      </c>
      <c r="B118" s="3" t="inlineStr">
        <is>
          <t>ZA-ACC-010</t>
        </is>
      </c>
      <c r="C118" s="3" t="inlineStr">
        <is>
          <t>Accessories</t>
        </is>
      </c>
      <c r="D118" s="3" t="n">
        <v>1648</v>
      </c>
      <c r="E118" s="3" t="n">
        <v>127</v>
      </c>
      <c r="F118" s="3" t="n">
        <v>57</v>
      </c>
      <c r="G118" s="5" t="n">
        <v>82</v>
      </c>
      <c r="H118" s="15" t="n">
        <v>631.01</v>
      </c>
      <c r="I118" s="5">
        <f>IF(AND(ISNUMBER(G118),G118&gt;0),D118/(G118/7),"")</f>
        <v/>
      </c>
      <c r="J118" s="3">
        <f>IF(AND(ISNUMBER(E118),D118&lt;E118),1,0)</f>
        <v/>
      </c>
      <c r="K118" s="3" t="n">
        <v>673</v>
      </c>
      <c r="L118" s="3" t="n">
        <v>542</v>
      </c>
      <c r="M118" s="3" t="n">
        <v>215</v>
      </c>
      <c r="N118" s="4">
        <f>IF(AND(ISNUMBER(K118),K118&gt;0),M118/K118,"")</f>
        <v/>
      </c>
      <c r="O118" s="4">
        <f>IF(AND(ISNUMBER(K118),K118&gt;0),(L118-K118)/K118,"")</f>
        <v/>
      </c>
      <c r="P118" s="3" t="n"/>
      <c r="Q118" s="3" t="inlineStr">
        <is>
          <t>LOW</t>
        </is>
      </c>
      <c r="R118" s="6">
        <f>IF(ISNUMBER(G118),MAX(0,D118-Legend!$B$2*G118/7)*H118,0)</f>
        <v/>
      </c>
    </row>
    <row r="119">
      <c r="A119" s="3" t="inlineStr">
        <is>
          <t>South Africa</t>
        </is>
      </c>
      <c r="B119" s="3" t="inlineStr">
        <is>
          <t>ZA-ACC-014</t>
        </is>
      </c>
      <c r="C119" s="3" t="inlineStr">
        <is>
          <t>Accessories</t>
        </is>
      </c>
      <c r="D119" s="3" t="n">
        <v>299</v>
      </c>
      <c r="E119" s="3" t="n">
        <v>64</v>
      </c>
      <c r="F119" s="3" t="n">
        <v>41</v>
      </c>
      <c r="G119" s="5" t="n">
        <v>82.75</v>
      </c>
      <c r="H119" s="15" t="n">
        <v>189.12</v>
      </c>
      <c r="I119" s="5">
        <f>IF(AND(ISNUMBER(G119),G119&gt;0),D119/(G119/7),"")</f>
        <v/>
      </c>
      <c r="J119" s="3">
        <f>IF(AND(ISNUMBER(E119),D119&lt;E119),1,0)</f>
        <v/>
      </c>
      <c r="K119" s="3" t="n">
        <v>694</v>
      </c>
      <c r="L119" s="3" t="n">
        <v>656</v>
      </c>
      <c r="M119" s="3" t="n">
        <v>126</v>
      </c>
      <c r="N119" s="4">
        <f>IF(AND(ISNUMBER(K119),K119&gt;0),M119/K119,"")</f>
        <v/>
      </c>
      <c r="O119" s="4">
        <f>IF(AND(ISNUMBER(K119),K119&gt;0),(L119-K119)/K119,"")</f>
        <v/>
      </c>
      <c r="P119" s="3" t="n"/>
      <c r="Q119" s="3" t="inlineStr">
        <is>
          <t>LOW</t>
        </is>
      </c>
      <c r="R119" s="6">
        <f>IF(ISNUMBER(G119),MAX(0,D119-Legend!$B$2*G119/7)*H119,0)</f>
        <v/>
      </c>
    </row>
    <row r="120">
      <c r="A120" s="3" t="inlineStr">
        <is>
          <t>South Africa</t>
        </is>
      </c>
      <c r="B120" s="3" t="inlineStr">
        <is>
          <t>ZA-ACC-018</t>
        </is>
      </c>
      <c r="C120" s="3" t="inlineStr">
        <is>
          <t>Accessories</t>
        </is>
      </c>
      <c r="D120" s="3" t="n">
        <v>989</v>
      </c>
      <c r="E120" s="3" t="n">
        <v>126</v>
      </c>
      <c r="F120" s="3" t="n">
        <v>42</v>
      </c>
      <c r="G120" s="5" t="n">
        <v>142</v>
      </c>
      <c r="H120" s="15" t="n">
        <v>648.5</v>
      </c>
      <c r="I120" s="5">
        <f>IF(AND(ISNUMBER(G120),G120&gt;0),D120/(G120/7),"")</f>
        <v/>
      </c>
      <c r="J120" s="3">
        <f>IF(AND(ISNUMBER(E120),D120&lt;E120),1,0)</f>
        <v/>
      </c>
      <c r="K120" s="3" t="n">
        <v>1351</v>
      </c>
      <c r="L120" s="3" t="n">
        <v>1261</v>
      </c>
      <c r="M120" s="3" t="n">
        <v>224</v>
      </c>
      <c r="N120" s="4">
        <f>IF(AND(ISNUMBER(K120),K120&gt;0),M120/K120,"")</f>
        <v/>
      </c>
      <c r="O120" s="4">
        <f>IF(AND(ISNUMBER(K120),K120&gt;0),(L120-K120)/K120,"")</f>
        <v/>
      </c>
      <c r="P120" s="3" t="n"/>
      <c r="Q120" s="3" t="inlineStr">
        <is>
          <t>LOW</t>
        </is>
      </c>
      <c r="R120" s="6">
        <f>IF(ISNUMBER(G120),MAX(0,D120-Legend!$B$2*G120/7)*H120,0)</f>
        <v/>
      </c>
    </row>
    <row r="121">
      <c r="A121" s="3" t="inlineStr">
        <is>
          <t>South Africa</t>
        </is>
      </c>
      <c r="B121" s="3" t="inlineStr">
        <is>
          <t>ZA-ACC-022</t>
        </is>
      </c>
      <c r="C121" s="3" t="inlineStr">
        <is>
          <t>Accessories</t>
        </is>
      </c>
      <c r="D121" s="3" t="n">
        <v>437</v>
      </c>
      <c r="E121" s="3" t="n">
        <v>122</v>
      </c>
      <c r="F121" s="3" t="n">
        <v>64</v>
      </c>
      <c r="G121" s="5" t="n">
        <v>73.5</v>
      </c>
      <c r="H121" s="15" t="n">
        <v>367.84</v>
      </c>
      <c r="I121" s="5">
        <f>IF(AND(ISNUMBER(G121),G121&gt;0),D121/(G121/7),"")</f>
        <v/>
      </c>
      <c r="J121" s="3">
        <f>IF(AND(ISNUMBER(E121),D121&lt;E121),1,0)</f>
        <v/>
      </c>
      <c r="K121" s="3" t="n">
        <v>662</v>
      </c>
      <c r="L121" s="3" t="n">
        <v>659</v>
      </c>
      <c r="M121" s="3" t="n">
        <v>83</v>
      </c>
      <c r="N121" s="4">
        <f>IF(AND(ISNUMBER(K121),K121&gt;0),M121/K121,"")</f>
        <v/>
      </c>
      <c r="O121" s="4">
        <f>IF(AND(ISNUMBER(K121),K121&gt;0),(L121-K121)/K121,"")</f>
        <v/>
      </c>
      <c r="P121" s="3" t="n"/>
      <c r="Q121" s="3" t="inlineStr">
        <is>
          <t>LOW</t>
        </is>
      </c>
      <c r="R121" s="6">
        <f>IF(ISNUMBER(G121),MAX(0,D121-Legend!$B$2*G121/7)*H121,0)</f>
        <v/>
      </c>
    </row>
    <row r="122">
      <c r="A122" s="3" t="inlineStr">
        <is>
          <t>South Africa</t>
        </is>
      </c>
      <c r="B122" s="3" t="inlineStr">
        <is>
          <t>ZA-DEV-001</t>
        </is>
      </c>
      <c r="C122" s="3" t="inlineStr">
        <is>
          <t>Devices</t>
        </is>
      </c>
      <c r="D122" s="3" t="n">
        <v>162</v>
      </c>
      <c r="E122" s="3" t="n">
        <v>44</v>
      </c>
      <c r="F122" s="3" t="n">
        <v>47</v>
      </c>
      <c r="G122" s="5" t="n">
        <v>26.5</v>
      </c>
      <c r="H122" s="15" t="n">
        <v>602.98</v>
      </c>
      <c r="I122" s="5">
        <f>IF(AND(ISNUMBER(G122),G122&gt;0),D122/(G122/7),"")</f>
        <v/>
      </c>
      <c r="J122" s="3">
        <f>IF(AND(ISNUMBER(E122),D122&lt;E122),1,0)</f>
        <v/>
      </c>
      <c r="K122" s="3" t="n">
        <v>286</v>
      </c>
      <c r="L122" s="3" t="n">
        <v>204</v>
      </c>
      <c r="M122" s="3" t="n">
        <v>88</v>
      </c>
      <c r="N122" s="4">
        <f>IF(AND(ISNUMBER(K122),K122&gt;0),M122/K122,"")</f>
        <v/>
      </c>
      <c r="O122" s="4">
        <f>IF(AND(ISNUMBER(K122),K122&gt;0),(L122-K122)/K122,"")</f>
        <v/>
      </c>
      <c r="P122" s="3" t="n"/>
      <c r="Q122" s="3" t="inlineStr">
        <is>
          <t>LOW</t>
        </is>
      </c>
      <c r="R122" s="6">
        <f>IF(ISNUMBER(G122),MAX(0,D122-Legend!$B$2*G122/7)*H122,0)</f>
        <v/>
      </c>
    </row>
    <row r="123">
      <c r="A123" s="3" t="inlineStr">
        <is>
          <t>South Africa</t>
        </is>
      </c>
      <c r="B123" s="3" t="inlineStr">
        <is>
          <t>ZA-DEV-005</t>
        </is>
      </c>
      <c r="C123" s="3" t="inlineStr">
        <is>
          <t>Devices</t>
        </is>
      </c>
      <c r="D123" s="3" t="n">
        <v>504</v>
      </c>
      <c r="E123" s="3" t="n">
        <v>97</v>
      </c>
      <c r="F123" s="3" t="n">
        <v>32</v>
      </c>
      <c r="G123" s="5" t="n">
        <v>111.5</v>
      </c>
      <c r="H123" s="15" t="n">
        <v>209.2</v>
      </c>
      <c r="I123" s="5">
        <f>IF(AND(ISNUMBER(G123),G123&gt;0),D123/(G123/7),"")</f>
        <v/>
      </c>
      <c r="J123" s="3">
        <f>IF(AND(ISNUMBER(E123),D123&lt;E123),1,0)</f>
        <v/>
      </c>
      <c r="K123" s="3" t="n">
        <v>970</v>
      </c>
      <c r="L123" s="3" t="n">
        <v>921</v>
      </c>
      <c r="M123" s="3" t="n">
        <v>151</v>
      </c>
      <c r="N123" s="4">
        <f>IF(AND(ISNUMBER(K123),K123&gt;0),M123/K123,"")</f>
        <v/>
      </c>
      <c r="O123" s="4">
        <f>IF(AND(ISNUMBER(K123),K123&gt;0),(L123-K123)/K123,"")</f>
        <v/>
      </c>
      <c r="P123" s="3" t="n">
        <v>7</v>
      </c>
      <c r="Q123" s="17" t="inlineStr">
        <is>
          <t>MEDIUM</t>
        </is>
      </c>
      <c r="R123" s="6">
        <f>IF(ISNUMBER(G123),MAX(0,D123-Legend!$B$2*G123/7)*H123,0)</f>
        <v/>
      </c>
    </row>
    <row r="124">
      <c r="A124" s="3" t="inlineStr">
        <is>
          <t>South Africa</t>
        </is>
      </c>
      <c r="B124" s="3" t="inlineStr">
        <is>
          <t>ZA-DEV-009</t>
        </is>
      </c>
      <c r="C124" s="3" t="inlineStr">
        <is>
          <t>Devices</t>
        </is>
      </c>
      <c r="D124" s="3" t="n">
        <v>1807</v>
      </c>
      <c r="E124" s="3" t="n">
        <v>154</v>
      </c>
      <c r="F124" s="3" t="n">
        <v>45</v>
      </c>
      <c r="G124" s="5" t="n">
        <v>122</v>
      </c>
      <c r="H124" s="15" t="n">
        <v>226.69</v>
      </c>
      <c r="I124" s="5">
        <f>IF(AND(ISNUMBER(G124),G124&gt;0),D124/(G124/7),"")</f>
        <v/>
      </c>
      <c r="J124" s="3">
        <f>IF(AND(ISNUMBER(E124),D124&lt;E124),1,0)</f>
        <v/>
      </c>
      <c r="K124" s="3" t="n">
        <v>915</v>
      </c>
      <c r="L124" s="3" t="n">
        <v>945</v>
      </c>
      <c r="M124" s="3" t="n">
        <v>110</v>
      </c>
      <c r="N124" s="4">
        <f>IF(AND(ISNUMBER(K124),K124&gt;0),M124/K124,"")</f>
        <v/>
      </c>
      <c r="O124" s="4">
        <f>IF(AND(ISNUMBER(K124),K124&gt;0),(L124-K124)/K124,"")</f>
        <v/>
      </c>
      <c r="P124" s="3" t="n"/>
      <c r="Q124" s="3" t="inlineStr">
        <is>
          <t>LOW</t>
        </is>
      </c>
      <c r="R124" s="6">
        <f>IF(ISNUMBER(G124),MAX(0,D124-Legend!$B$2*G124/7)*H124,0)</f>
        <v/>
      </c>
    </row>
    <row r="125">
      <c r="A125" s="3" t="inlineStr">
        <is>
          <t>South Africa</t>
        </is>
      </c>
      <c r="B125" s="3" t="inlineStr">
        <is>
          <t>ZA-DEV-013</t>
        </is>
      </c>
      <c r="C125" s="3" t="inlineStr">
        <is>
          <t>Devices</t>
        </is>
      </c>
      <c r="D125" s="3" t="n">
        <v>73</v>
      </c>
      <c r="E125" s="3" t="n">
        <v>59</v>
      </c>
      <c r="F125" s="3" t="n">
        <v>31</v>
      </c>
      <c r="G125" s="5" t="n">
        <v>56</v>
      </c>
      <c r="H125" s="15" t="n">
        <v>370.44</v>
      </c>
      <c r="I125" s="5">
        <f>IF(AND(ISNUMBER(G125),G125&gt;0),D125/(G125/7),"")</f>
        <v/>
      </c>
      <c r="J125" s="3">
        <f>IF(AND(ISNUMBER(E125),D125&lt;E125),1,0)</f>
        <v/>
      </c>
      <c r="K125" s="3" t="n">
        <v>530</v>
      </c>
      <c r="L125" s="3" t="n">
        <v>473</v>
      </c>
      <c r="M125" s="3" t="n">
        <v>87</v>
      </c>
      <c r="N125" s="4">
        <f>IF(AND(ISNUMBER(K125),K125&gt;0),M125/K125,"")</f>
        <v/>
      </c>
      <c r="O125" s="4">
        <f>IF(AND(ISNUMBER(K125),K125&gt;0),(L125-K125)/K125,"")</f>
        <v/>
      </c>
      <c r="P125" s="3" t="n">
        <v>1</v>
      </c>
      <c r="Q125" s="16" t="inlineStr">
        <is>
          <t>HIGH</t>
        </is>
      </c>
      <c r="R125" s="6">
        <f>IF(ISNUMBER(G125),MAX(0,D125-Legend!$B$2*G125/7)*H125,0)</f>
        <v/>
      </c>
    </row>
    <row r="126">
      <c r="A126" s="3" t="inlineStr">
        <is>
          <t>South Africa</t>
        </is>
      </c>
      <c r="B126" s="3" t="inlineStr">
        <is>
          <t>ZA-DEV-017</t>
        </is>
      </c>
      <c r="C126" s="3" t="inlineStr">
        <is>
          <t>Devices</t>
        </is>
      </c>
      <c r="D126" s="3" t="n">
        <v>4283</v>
      </c>
      <c r="E126" s="3" t="n">
        <v>194</v>
      </c>
      <c r="F126" s="3" t="n">
        <v>30</v>
      </c>
      <c r="G126" s="5" t="n">
        <v>386.25</v>
      </c>
      <c r="H126" s="15" t="n">
        <v>128.27</v>
      </c>
      <c r="I126" s="5">
        <f>IF(AND(ISNUMBER(G126),G126&gt;0),D126/(G126/7),"")</f>
        <v/>
      </c>
      <c r="J126" s="3">
        <f>IF(AND(ISNUMBER(E126),D126&lt;E126),1,0)</f>
        <v/>
      </c>
      <c r="K126" s="3" t="n">
        <v>2110</v>
      </c>
      <c r="L126" s="3" t="n">
        <v>2590</v>
      </c>
      <c r="M126" s="3" t="n">
        <v>528</v>
      </c>
      <c r="N126" s="4">
        <f>IF(AND(ISNUMBER(K126),K126&gt;0),M126/K126,"")</f>
        <v/>
      </c>
      <c r="O126" s="4">
        <f>IF(AND(ISNUMBER(K126),K126&gt;0),(L126-K126)/K126,"")</f>
        <v/>
      </c>
      <c r="P126" s="3" t="n"/>
      <c r="Q126" s="3" t="inlineStr">
        <is>
          <t>LOW</t>
        </is>
      </c>
      <c r="R126" s="6">
        <f>IF(ISNUMBER(G126),MAX(0,D126-Legend!$B$2*G126/7)*H126,0)</f>
        <v/>
      </c>
    </row>
    <row r="127">
      <c r="A127" s="3" t="inlineStr">
        <is>
          <t>South Africa</t>
        </is>
      </c>
      <c r="B127" s="3" t="inlineStr">
        <is>
          <t>ZA-DEV-021</t>
        </is>
      </c>
      <c r="C127" s="3" t="inlineStr">
        <is>
          <t>Devices</t>
        </is>
      </c>
      <c r="D127" s="3" t="n">
        <v>1224</v>
      </c>
      <c r="E127" s="3" t="n"/>
      <c r="F127" s="3" t="n">
        <v>67</v>
      </c>
      <c r="G127" s="5" t="n">
        <v>103.75</v>
      </c>
      <c r="H127" s="15" t="n">
        <v>462.89</v>
      </c>
      <c r="I127" s="5">
        <f>IF(AND(ISNUMBER(G127),G127&gt;0),D127/(G127/7),"")</f>
        <v/>
      </c>
      <c r="J127" s="3">
        <f>IF(AND(ISNUMBER(E127),D127&lt;E127),1,0)</f>
        <v/>
      </c>
      <c r="K127" s="3" t="n">
        <v>747</v>
      </c>
      <c r="L127" s="3" t="n">
        <v>870</v>
      </c>
      <c r="M127" s="3" t="n">
        <v>191</v>
      </c>
      <c r="N127" s="4">
        <f>IF(AND(ISNUMBER(K127),K127&gt;0),M127/K127,"")</f>
        <v/>
      </c>
      <c r="O127" s="4">
        <f>IF(AND(ISNUMBER(K127),K127&gt;0),(L127-K127)/K127,"")</f>
        <v/>
      </c>
      <c r="P127" s="3" t="n"/>
      <c r="Q127" s="3" t="inlineStr">
        <is>
          <t>LOW</t>
        </is>
      </c>
      <c r="R127" s="6">
        <f>IF(ISNUMBER(G127),MAX(0,D127-Legend!$B$2*G127/7)*H127,0)</f>
        <v/>
      </c>
    </row>
    <row r="128">
      <c r="A128" s="3" t="inlineStr">
        <is>
          <t>South Africa</t>
        </is>
      </c>
      <c r="B128" s="3" t="inlineStr">
        <is>
          <t>ZA-DEV-025</t>
        </is>
      </c>
      <c r="C128" s="3" t="inlineStr">
        <is>
          <t>Devices</t>
        </is>
      </c>
      <c r="D128" s="3" t="n">
        <v>1288</v>
      </c>
      <c r="E128" s="3" t="n">
        <v>268</v>
      </c>
      <c r="F128" s="3" t="n">
        <v>54</v>
      </c>
      <c r="G128" s="5" t="n">
        <v>180.25</v>
      </c>
      <c r="H128" s="15" t="n">
        <v>505.72</v>
      </c>
      <c r="I128" s="5">
        <f>IF(AND(ISNUMBER(G128),G128&gt;0),D128/(G128/7),"")</f>
        <v/>
      </c>
      <c r="J128" s="3">
        <f>IF(AND(ISNUMBER(E128),D128&lt;E128),1,0)</f>
        <v/>
      </c>
      <c r="K128" s="3" t="n">
        <v>1789</v>
      </c>
      <c r="L128" s="3" t="n">
        <v>1676</v>
      </c>
      <c r="M128" s="3" t="n">
        <v>413</v>
      </c>
      <c r="N128" s="4">
        <f>IF(AND(ISNUMBER(K128),K128&gt;0),M128/K128,"")</f>
        <v/>
      </c>
      <c r="O128" s="4">
        <f>IF(AND(ISNUMBER(K128),K128&gt;0),(L128-K128)/K128,"")</f>
        <v/>
      </c>
      <c r="P128" s="3" t="n"/>
      <c r="Q128" s="3" t="inlineStr">
        <is>
          <t>LOW</t>
        </is>
      </c>
      <c r="R128" s="6">
        <f>IF(ISNUMBER(G128),MAX(0,D128-Legend!$B$2*G128/7)*H128,0)</f>
        <v/>
      </c>
    </row>
    <row r="129">
      <c r="A129" s="3" t="inlineStr">
        <is>
          <t>South Africa</t>
        </is>
      </c>
      <c r="B129" s="3" t="inlineStr">
        <is>
          <t>ZA-DEV-029</t>
        </is>
      </c>
      <c r="C129" s="3" t="inlineStr">
        <is>
          <t>Devices</t>
        </is>
      </c>
      <c r="D129" s="3" t="n">
        <v>842</v>
      </c>
      <c r="E129" s="3" t="n">
        <v>72</v>
      </c>
      <c r="F129" s="3" t="n">
        <v>55</v>
      </c>
      <c r="G129" s="5" t="n">
        <v>77.25</v>
      </c>
      <c r="H129" s="15" t="n">
        <v>675.01</v>
      </c>
      <c r="I129" s="5">
        <f>IF(AND(ISNUMBER(G129),G129&gt;0),D129/(G129/7),"")</f>
        <v/>
      </c>
      <c r="J129" s="3">
        <f>IF(AND(ISNUMBER(E129),D129&lt;E129),1,0)</f>
        <v/>
      </c>
      <c r="K129" s="3" t="n">
        <v>507</v>
      </c>
      <c r="L129" s="3" t="n">
        <v>511</v>
      </c>
      <c r="M129" s="3" t="n">
        <v>72</v>
      </c>
      <c r="N129" s="4">
        <f>IF(AND(ISNUMBER(K129),K129&gt;0),M129/K129,"")</f>
        <v/>
      </c>
      <c r="O129" s="4">
        <f>IF(AND(ISNUMBER(K129),K129&gt;0),(L129-K129)/K129,"")</f>
        <v/>
      </c>
      <c r="P129" s="3" t="n"/>
      <c r="Q129" s="3" t="inlineStr">
        <is>
          <t>LOW</t>
        </is>
      </c>
      <c r="R129" s="6">
        <f>IF(ISNUMBER(G129),MAX(0,D129-Legend!$B$2*G129/7)*H129,0)</f>
        <v/>
      </c>
    </row>
    <row r="130">
      <c r="A130" s="3" t="inlineStr">
        <is>
          <t>South Africa</t>
        </is>
      </c>
      <c r="B130" s="3" t="inlineStr">
        <is>
          <t>ZA-NET-003</t>
        </is>
      </c>
      <c r="C130" s="3" t="inlineStr">
        <is>
          <t>Network</t>
        </is>
      </c>
      <c r="D130" s="3" t="n">
        <v>794</v>
      </c>
      <c r="E130" s="3" t="n">
        <v>94</v>
      </c>
      <c r="F130" s="3" t="n">
        <v>36</v>
      </c>
      <c r="G130" s="5" t="n">
        <v>127.75</v>
      </c>
      <c r="H130" s="15" t="n">
        <v>104.86</v>
      </c>
      <c r="I130" s="5">
        <f>IF(AND(ISNUMBER(G130),G130&gt;0),D130/(G130/7),"")</f>
        <v/>
      </c>
      <c r="J130" s="3">
        <f>IF(AND(ISNUMBER(E130),D130&lt;E130),1,0)</f>
        <v/>
      </c>
      <c r="K130" s="3" t="n">
        <v>645</v>
      </c>
      <c r="L130" s="3" t="n">
        <v>957</v>
      </c>
      <c r="M130" s="3" t="n">
        <v>318</v>
      </c>
      <c r="N130" s="4">
        <f>IF(AND(ISNUMBER(K130),K130&gt;0),M130/K130,"")</f>
        <v/>
      </c>
      <c r="O130" s="4">
        <f>IF(AND(ISNUMBER(K130),K130&gt;0),(L130-K130)/K130,"")</f>
        <v/>
      </c>
      <c r="P130" s="3" t="n">
        <v>6</v>
      </c>
      <c r="Q130" s="17" t="inlineStr">
        <is>
          <t>MEDIUM</t>
        </is>
      </c>
      <c r="R130" s="6">
        <f>IF(ISNUMBER(G130),MAX(0,D130-Legend!$B$2*G130/7)*H130,0)</f>
        <v/>
      </c>
    </row>
    <row r="131">
      <c r="A131" s="3" t="inlineStr">
        <is>
          <t>South Africa</t>
        </is>
      </c>
      <c r="B131" s="3" t="inlineStr">
        <is>
          <t>ZA-NET-007</t>
        </is>
      </c>
      <c r="C131" s="3" t="inlineStr">
        <is>
          <t>Network</t>
        </is>
      </c>
      <c r="D131" s="3" t="n">
        <v>443</v>
      </c>
      <c r="E131" s="3" t="n">
        <v>87</v>
      </c>
      <c r="F131" s="3" t="n">
        <v>57</v>
      </c>
      <c r="G131" s="5" t="n">
        <v>118.75</v>
      </c>
      <c r="H131" s="15" t="n">
        <v>843.61</v>
      </c>
      <c r="I131" s="5">
        <f>IF(AND(ISNUMBER(G131),G131&gt;0),D131/(G131/7),"")</f>
        <v/>
      </c>
      <c r="J131" s="3">
        <f>IF(AND(ISNUMBER(E131),D131&lt;E131),1,0)</f>
        <v/>
      </c>
      <c r="K131" s="3" t="n">
        <v>992</v>
      </c>
      <c r="L131" s="3" t="n">
        <v>833</v>
      </c>
      <c r="M131" s="3" t="n">
        <v>227</v>
      </c>
      <c r="N131" s="4">
        <f>IF(AND(ISNUMBER(K131),K131&gt;0),M131/K131,"")</f>
        <v/>
      </c>
      <c r="O131" s="4">
        <f>IF(AND(ISNUMBER(K131),K131&gt;0),(L131-K131)/K131,"")</f>
        <v/>
      </c>
      <c r="P131" s="3" t="n"/>
      <c r="Q131" s="3" t="inlineStr">
        <is>
          <t>LOW</t>
        </is>
      </c>
      <c r="R131" s="6">
        <f>IF(ISNUMBER(G131),MAX(0,D131-Legend!$B$2*G131/7)*H131,0)</f>
        <v/>
      </c>
    </row>
    <row r="132">
      <c r="A132" s="3" t="inlineStr">
        <is>
          <t>South Africa</t>
        </is>
      </c>
      <c r="B132" s="3" t="inlineStr">
        <is>
          <t>ZA-NET-011</t>
        </is>
      </c>
      <c r="C132" s="3" t="inlineStr">
        <is>
          <t>Network</t>
        </is>
      </c>
      <c r="D132" s="3" t="n">
        <v>236</v>
      </c>
      <c r="E132" s="3" t="n">
        <v>76</v>
      </c>
      <c r="F132" s="3" t="n">
        <v>35</v>
      </c>
      <c r="G132" s="5" t="n">
        <v>55.75</v>
      </c>
      <c r="H132" s="15" t="n">
        <v>417.59</v>
      </c>
      <c r="I132" s="5">
        <f>IF(AND(ISNUMBER(G132),G132&gt;0),D132/(G132/7),"")</f>
        <v/>
      </c>
      <c r="J132" s="3">
        <f>IF(AND(ISNUMBER(E132),D132&lt;E132),1,0)</f>
        <v/>
      </c>
      <c r="K132" s="3" t="n">
        <v>488</v>
      </c>
      <c r="L132" s="3" t="n">
        <v>516</v>
      </c>
      <c r="M132" s="3" t="n">
        <v>100</v>
      </c>
      <c r="N132" s="4">
        <f>IF(AND(ISNUMBER(K132),K132&gt;0),M132/K132,"")</f>
        <v/>
      </c>
      <c r="O132" s="4">
        <f>IF(AND(ISNUMBER(K132),K132&gt;0),(L132-K132)/K132,"")</f>
        <v/>
      </c>
      <c r="P132" s="3" t="n"/>
      <c r="Q132" s="3" t="inlineStr">
        <is>
          <t>LOW</t>
        </is>
      </c>
      <c r="R132" s="6">
        <f>IF(ISNUMBER(G132),MAX(0,D132-Legend!$B$2*G132/7)*H132,0)</f>
        <v/>
      </c>
    </row>
    <row r="133">
      <c r="A133" s="3" t="inlineStr">
        <is>
          <t>South Africa</t>
        </is>
      </c>
      <c r="B133" s="3" t="inlineStr">
        <is>
          <t>ZA-NET-015</t>
        </is>
      </c>
      <c r="C133" s="3" t="inlineStr">
        <is>
          <t>Network</t>
        </is>
      </c>
      <c r="D133" s="3" t="n">
        <v>1693</v>
      </c>
      <c r="E133" s="3" t="n">
        <v>318</v>
      </c>
      <c r="F133" s="3" t="n">
        <v>62</v>
      </c>
      <c r="G133" s="5" t="n">
        <v>228.5</v>
      </c>
      <c r="H133" s="15" t="n">
        <v>415.04</v>
      </c>
      <c r="I133" s="5">
        <f>IF(AND(ISNUMBER(G133),G133&gt;0),D133/(G133/7),"")</f>
        <v/>
      </c>
      <c r="J133" s="3">
        <f>IF(AND(ISNUMBER(E133),D133&lt;E133),1,0)</f>
        <v/>
      </c>
      <c r="K133" s="3" t="n">
        <v>2353</v>
      </c>
      <c r="L133" s="3" t="n">
        <v>2161</v>
      </c>
      <c r="M133" s="3" t="n">
        <v>350</v>
      </c>
      <c r="N133" s="4">
        <f>IF(AND(ISNUMBER(K133),K133&gt;0),M133/K133,"")</f>
        <v/>
      </c>
      <c r="O133" s="4">
        <f>IF(AND(ISNUMBER(K133),K133&gt;0),(L133-K133)/K133,"")</f>
        <v/>
      </c>
      <c r="P133" s="3" t="n"/>
      <c r="Q133" s="3" t="inlineStr">
        <is>
          <t>LOW</t>
        </is>
      </c>
      <c r="R133" s="6">
        <f>IF(ISNUMBER(G133),MAX(0,D133-Legend!$B$2*G133/7)*H133,0)</f>
        <v/>
      </c>
    </row>
    <row r="134">
      <c r="A134" s="3" t="inlineStr">
        <is>
          <t>South Africa</t>
        </is>
      </c>
      <c r="B134" s="3" t="inlineStr">
        <is>
          <t>ZA-NET-019</t>
        </is>
      </c>
      <c r="C134" s="3" t="inlineStr">
        <is>
          <t>Network</t>
        </is>
      </c>
      <c r="D134" s="3" t="n">
        <v>2186</v>
      </c>
      <c r="E134" s="3" t="n">
        <v>241</v>
      </c>
      <c r="F134" s="3" t="n">
        <v>42</v>
      </c>
      <c r="G134" s="5" t="n">
        <v>237.75</v>
      </c>
      <c r="H134" s="15" t="n">
        <v>621.63</v>
      </c>
      <c r="I134" s="5">
        <f>IF(AND(ISNUMBER(G134),G134&gt;0),D134/(G134/7),"")</f>
        <v/>
      </c>
      <c r="J134" s="3">
        <f>IF(AND(ISNUMBER(E134),D134&lt;E134),1,0)</f>
        <v/>
      </c>
      <c r="K134" s="3" t="n">
        <v>1752</v>
      </c>
      <c r="L134" s="3" t="n">
        <v>1754</v>
      </c>
      <c r="M134" s="3" t="n">
        <v>282</v>
      </c>
      <c r="N134" s="4">
        <f>IF(AND(ISNUMBER(K134),K134&gt;0),M134/K134,"")</f>
        <v/>
      </c>
      <c r="O134" s="4">
        <f>IF(AND(ISNUMBER(K134),K134&gt;0),(L134-K134)/K134,"")</f>
        <v/>
      </c>
      <c r="P134" s="3" t="n"/>
      <c r="Q134" s="3" t="inlineStr">
        <is>
          <t>LOW</t>
        </is>
      </c>
      <c r="R134" s="6">
        <f>IF(ISNUMBER(G134),MAX(0,D134-Legend!$B$2*G134/7)*H134,0)</f>
        <v/>
      </c>
    </row>
    <row r="135">
      <c r="A135" s="3" t="inlineStr">
        <is>
          <t>South Africa</t>
        </is>
      </c>
      <c r="B135" s="3" t="inlineStr">
        <is>
          <t>ZA-NET-023</t>
        </is>
      </c>
      <c r="C135" s="3" t="inlineStr">
        <is>
          <t>Network</t>
        </is>
      </c>
      <c r="D135" s="3" t="n">
        <v>2028</v>
      </c>
      <c r="E135" s="3" t="n">
        <v>149</v>
      </c>
      <c r="F135" s="3" t="n">
        <v>49</v>
      </c>
      <c r="G135" s="5" t="n">
        <v>155.75</v>
      </c>
      <c r="H135" s="15" t="n">
        <v>196.7</v>
      </c>
      <c r="I135" s="5">
        <f>IF(AND(ISNUMBER(G135),G135&gt;0),D135/(G135/7),"")</f>
        <v/>
      </c>
      <c r="J135" s="3">
        <f>IF(AND(ISNUMBER(E135),D135&lt;E135),1,0)</f>
        <v/>
      </c>
      <c r="K135" s="3" t="n">
        <v>1309</v>
      </c>
      <c r="L135" s="3" t="n">
        <v>1419</v>
      </c>
      <c r="M135" s="3" t="n">
        <v>280</v>
      </c>
      <c r="N135" s="4">
        <f>IF(AND(ISNUMBER(K135),K135&gt;0),M135/K135,"")</f>
        <v/>
      </c>
      <c r="O135" s="4">
        <f>IF(AND(ISNUMBER(K135),K135&gt;0),(L135-K135)/K135,"")</f>
        <v/>
      </c>
      <c r="P135" s="3" t="n"/>
      <c r="Q135" s="3" t="inlineStr">
        <is>
          <t>LOW</t>
        </is>
      </c>
      <c r="R135" s="6">
        <f>IF(ISNUMBER(G135),MAX(0,D135-Legend!$B$2*G135/7)*H135,0)</f>
        <v/>
      </c>
    </row>
    <row r="136">
      <c r="A136" s="3" t="inlineStr">
        <is>
          <t>South Africa</t>
        </is>
      </c>
      <c r="B136" s="3" t="inlineStr">
        <is>
          <t>ZA-NET-027</t>
        </is>
      </c>
      <c r="C136" s="3" t="inlineStr">
        <is>
          <t>Network</t>
        </is>
      </c>
      <c r="D136" s="3" t="n">
        <v>335</v>
      </c>
      <c r="E136" s="3" t="n">
        <v>91</v>
      </c>
      <c r="F136" s="3" t="n">
        <v>53</v>
      </c>
      <c r="G136" s="5" t="n">
        <v>94.75</v>
      </c>
      <c r="H136" s="15" t="n">
        <v>145.15</v>
      </c>
      <c r="I136" s="5">
        <f>IF(AND(ISNUMBER(G136),G136&gt;0),D136/(G136/7),"")</f>
        <v/>
      </c>
      <c r="J136" s="3">
        <f>IF(AND(ISNUMBER(E136),D136&lt;E136),1,0)</f>
        <v/>
      </c>
      <c r="K136" s="3" t="n">
        <v>642</v>
      </c>
      <c r="L136" s="3" t="n">
        <v>727</v>
      </c>
      <c r="M136" s="3" t="n">
        <v>203</v>
      </c>
      <c r="N136" s="4">
        <f>IF(AND(ISNUMBER(K136),K136&gt;0),M136/K136,"")</f>
        <v/>
      </c>
      <c r="O136" s="4">
        <f>IF(AND(ISNUMBER(K136),K136&gt;0),(L136-K136)/K136,"")</f>
        <v/>
      </c>
      <c r="P136" s="3" t="n"/>
      <c r="Q136" s="3" t="inlineStr">
        <is>
          <t>LOW</t>
        </is>
      </c>
      <c r="R136" s="6">
        <f>IF(ISNUMBER(G136),MAX(0,D136-Legend!$B$2*G136/7)*H136,0)</f>
        <v/>
      </c>
    </row>
    <row r="137">
      <c r="A137" s="3" t="inlineStr">
        <is>
          <t>South Africa</t>
        </is>
      </c>
      <c r="B137" s="3" t="inlineStr">
        <is>
          <t>ZA-STO-004</t>
        </is>
      </c>
      <c r="C137" s="3" t="inlineStr">
        <is>
          <t>Storage</t>
        </is>
      </c>
      <c r="D137" s="3" t="n">
        <v>136</v>
      </c>
      <c r="E137" s="3" t="n">
        <v>59</v>
      </c>
      <c r="F137" s="3" t="n">
        <v>53</v>
      </c>
      <c r="G137" s="5" t="n">
        <v>31.75</v>
      </c>
      <c r="H137" s="15" t="n">
        <v>318.23</v>
      </c>
      <c r="I137" s="5">
        <f>IF(AND(ISNUMBER(G137),G137&gt;0),D137/(G137/7),"")</f>
        <v/>
      </c>
      <c r="J137" s="3">
        <f>IF(AND(ISNUMBER(E137),D137&lt;E137),1,0)</f>
        <v/>
      </c>
      <c r="K137" s="3" t="n">
        <v>299</v>
      </c>
      <c r="L137" s="3" t="n">
        <v>287</v>
      </c>
      <c r="M137" s="3" t="n">
        <v>42</v>
      </c>
      <c r="N137" s="4">
        <f>IF(AND(ISNUMBER(K137),K137&gt;0),M137/K137,"")</f>
        <v/>
      </c>
      <c r="O137" s="4">
        <f>IF(AND(ISNUMBER(K137),K137&gt;0),(L137-K137)/K137,"")</f>
        <v/>
      </c>
      <c r="P137" s="3" t="n"/>
      <c r="Q137" s="3" t="inlineStr">
        <is>
          <t>LOW</t>
        </is>
      </c>
      <c r="R137" s="6">
        <f>IF(ISNUMBER(G137),MAX(0,D137-Legend!$B$2*G137/7)*H137,0)</f>
        <v/>
      </c>
    </row>
    <row r="138">
      <c r="A138" s="3" t="inlineStr">
        <is>
          <t>South Africa</t>
        </is>
      </c>
      <c r="B138" s="3" t="inlineStr">
        <is>
          <t>ZA-STO-008</t>
        </is>
      </c>
      <c r="C138" s="3" t="inlineStr">
        <is>
          <t>Storage</t>
        </is>
      </c>
      <c r="D138" s="3" t="n">
        <v>487</v>
      </c>
      <c r="E138" s="3" t="n">
        <v>128</v>
      </c>
      <c r="F138" s="3" t="n">
        <v>62</v>
      </c>
      <c r="G138" s="5" t="n">
        <v>73.75</v>
      </c>
      <c r="H138" s="15" t="n">
        <v>125.59</v>
      </c>
      <c r="I138" s="5">
        <f>IF(AND(ISNUMBER(G138),G138&gt;0),D138/(G138/7),"")</f>
        <v/>
      </c>
      <c r="J138" s="3">
        <f>IF(AND(ISNUMBER(E138),D138&lt;E138),1,0)</f>
        <v/>
      </c>
      <c r="K138" s="3" t="n">
        <v>721</v>
      </c>
      <c r="L138" s="3" t="n">
        <v>523</v>
      </c>
      <c r="M138" s="3" t="n">
        <v>198</v>
      </c>
      <c r="N138" s="4">
        <f>IF(AND(ISNUMBER(K138),K138&gt;0),M138/K138,"")</f>
        <v/>
      </c>
      <c r="O138" s="4">
        <f>IF(AND(ISNUMBER(K138),K138&gt;0),(L138-K138)/K138,"")</f>
        <v/>
      </c>
      <c r="P138" s="3" t="n"/>
      <c r="Q138" s="3" t="inlineStr">
        <is>
          <t>LOW</t>
        </is>
      </c>
      <c r="R138" s="6">
        <f>IF(ISNUMBER(G138),MAX(0,D138-Legend!$B$2*G138/7)*H138,0)</f>
        <v/>
      </c>
    </row>
    <row r="139">
      <c r="A139" s="3" t="inlineStr">
        <is>
          <t>South Africa</t>
        </is>
      </c>
      <c r="B139" s="3" t="inlineStr">
        <is>
          <t>ZA-STO-012</t>
        </is>
      </c>
      <c r="C139" s="3" t="inlineStr">
        <is>
          <t>Storage</t>
        </is>
      </c>
      <c r="D139" s="3" t="n">
        <v>1394</v>
      </c>
      <c r="E139" s="3" t="n">
        <v>208</v>
      </c>
      <c r="F139" s="3" t="n">
        <v>65</v>
      </c>
      <c r="G139" s="5" t="n">
        <v>83.75</v>
      </c>
      <c r="H139" s="15" t="n">
        <v>61.49</v>
      </c>
      <c r="I139" s="5">
        <f>IF(AND(ISNUMBER(G139),G139&gt;0),D139/(G139/7),"")</f>
        <v/>
      </c>
      <c r="J139" s="3">
        <f>IF(AND(ISNUMBER(E139),D139&lt;E139),1,0)</f>
        <v/>
      </c>
      <c r="K139" s="3" t="n">
        <v>723</v>
      </c>
      <c r="L139" s="3" t="n">
        <v>665</v>
      </c>
      <c r="M139" s="3" t="n">
        <v>144</v>
      </c>
      <c r="N139" s="4">
        <f>IF(AND(ISNUMBER(K139),K139&gt;0),M139/K139,"")</f>
        <v/>
      </c>
      <c r="O139" s="4">
        <f>IF(AND(ISNUMBER(K139),K139&gt;0),(L139-K139)/K139,"")</f>
        <v/>
      </c>
      <c r="P139" s="3" t="n"/>
      <c r="Q139" s="3" t="inlineStr">
        <is>
          <t>LOW</t>
        </is>
      </c>
      <c r="R139" s="6">
        <f>IF(ISNUMBER(G139),MAX(0,D139-Legend!$B$2*G139/7)*H139,0)</f>
        <v/>
      </c>
    </row>
    <row r="140">
      <c r="A140" s="3" t="inlineStr">
        <is>
          <t>South Africa</t>
        </is>
      </c>
      <c r="B140" s="3" t="inlineStr">
        <is>
          <t>ZA-STO-016</t>
        </is>
      </c>
      <c r="C140" s="3" t="inlineStr">
        <is>
          <t>Storage</t>
        </is>
      </c>
      <c r="D140" s="3" t="n">
        <v>159</v>
      </c>
      <c r="E140" s="3" t="n">
        <v>102</v>
      </c>
      <c r="F140" s="3" t="n">
        <v>36</v>
      </c>
      <c r="G140" s="5" t="n">
        <v>140.75</v>
      </c>
      <c r="H140" s="15" t="n">
        <v>530.13</v>
      </c>
      <c r="I140" s="5">
        <f>IF(AND(ISNUMBER(G140),G140&gt;0),D140/(G140/7),"")</f>
        <v/>
      </c>
      <c r="J140" s="3">
        <f>IF(AND(ISNUMBER(E140),D140&lt;E140),1,0)</f>
        <v/>
      </c>
      <c r="K140" s="3" t="n">
        <v>1062</v>
      </c>
      <c r="L140" s="3" t="n">
        <v>1101</v>
      </c>
      <c r="M140" s="3" t="n">
        <v>213</v>
      </c>
      <c r="N140" s="4">
        <f>IF(AND(ISNUMBER(K140),K140&gt;0),M140/K140,"")</f>
        <v/>
      </c>
      <c r="O140" s="4">
        <f>IF(AND(ISNUMBER(K140),K140&gt;0),(L140-K140)/K140,"")</f>
        <v/>
      </c>
      <c r="P140" s="3" t="n">
        <v>5</v>
      </c>
      <c r="Q140" s="16" t="inlineStr">
        <is>
          <t>HIGH</t>
        </is>
      </c>
      <c r="R140" s="6">
        <f>IF(ISNUMBER(G140),MAX(0,D140-Legend!$B$2*G140/7)*H140,0)</f>
        <v/>
      </c>
    </row>
    <row r="141">
      <c r="A141" s="3" t="inlineStr">
        <is>
          <t>South Africa</t>
        </is>
      </c>
      <c r="B141" s="3" t="inlineStr">
        <is>
          <t>ZA-STO-020</t>
        </is>
      </c>
      <c r="C141" s="3" t="inlineStr">
        <is>
          <t>Storage</t>
        </is>
      </c>
      <c r="D141" s="3" t="n">
        <v>142</v>
      </c>
      <c r="E141" s="3" t="n">
        <v>85</v>
      </c>
      <c r="F141" s="3" t="n">
        <v>33</v>
      </c>
      <c r="G141" s="5" t="n">
        <v>85</v>
      </c>
      <c r="H141" s="15" t="n">
        <v>71.69</v>
      </c>
      <c r="I141" s="5">
        <f>IF(AND(ISNUMBER(G141),G141&gt;0),D141/(G141/7),"")</f>
        <v/>
      </c>
      <c r="J141" s="3">
        <f>IF(AND(ISNUMBER(E141),D141&lt;E141),1,0)</f>
        <v/>
      </c>
      <c r="K141" s="3" t="n">
        <v>711</v>
      </c>
      <c r="L141" s="3" t="n">
        <v>630</v>
      </c>
      <c r="M141" s="3" t="n">
        <v>119</v>
      </c>
      <c r="N141" s="4">
        <f>IF(AND(ISNUMBER(K141),K141&gt;0),M141/K141,"")</f>
        <v/>
      </c>
      <c r="O141" s="4">
        <f>IF(AND(ISNUMBER(K141),K141&gt;0),(L141-K141)/K141,"")</f>
        <v/>
      </c>
      <c r="P141" s="3" t="n"/>
      <c r="Q141" s="3" t="inlineStr">
        <is>
          <t>LOW</t>
        </is>
      </c>
      <c r="R141" s="6">
        <f>IF(ISNUMBER(G141),MAX(0,D141-Legend!$B$2*G141/7)*H141,0)</f>
        <v/>
      </c>
    </row>
    <row r="142">
      <c r="A142" s="3" t="inlineStr">
        <is>
          <t>South Africa</t>
        </is>
      </c>
      <c r="B142" s="3" t="inlineStr">
        <is>
          <t>ZA-STO-024</t>
        </is>
      </c>
      <c r="C142" s="3" t="inlineStr">
        <is>
          <t>Storage</t>
        </is>
      </c>
      <c r="D142" s="3" t="n">
        <v>1679</v>
      </c>
      <c r="E142" s="3" t="n">
        <v>62</v>
      </c>
      <c r="F142" s="3" t="n">
        <v>34</v>
      </c>
      <c r="G142" s="5" t="n">
        <v>59</v>
      </c>
      <c r="H142" s="15" t="n">
        <v>144.38</v>
      </c>
      <c r="I142" s="5">
        <f>IF(AND(ISNUMBER(G142),G142&gt;0),D142/(G142/7),"")</f>
        <v/>
      </c>
      <c r="J142" s="3">
        <f>IF(AND(ISNUMBER(E142),D142&lt;E142),1,0)</f>
        <v/>
      </c>
      <c r="K142" s="3" t="n">
        <v>558</v>
      </c>
      <c r="L142" s="3" t="n">
        <v>535</v>
      </c>
      <c r="M142" s="3" t="n">
        <v>113</v>
      </c>
      <c r="N142" s="4">
        <f>IF(AND(ISNUMBER(K142),K142&gt;0),M142/K142,"")</f>
        <v/>
      </c>
      <c r="O142" s="4">
        <f>IF(AND(ISNUMBER(K142),K142&gt;0),(L142-K142)/K142,"")</f>
        <v/>
      </c>
      <c r="P142" s="3" t="n"/>
      <c r="Q142" s="3" t="inlineStr">
        <is>
          <t>LOW</t>
        </is>
      </c>
      <c r="R142" s="6">
        <f>IF(ISNUMBER(G142),MAX(0,D142-Legend!$B$2*G142/7)*H142,0)</f>
        <v/>
      </c>
    </row>
    <row r="143">
      <c r="A143" s="3" t="inlineStr">
        <is>
          <t>South Africa</t>
        </is>
      </c>
      <c r="B143" s="3" t="inlineStr">
        <is>
          <t>ZA-STO-028</t>
        </is>
      </c>
      <c r="C143" s="3" t="inlineStr">
        <is>
          <t>Storage</t>
        </is>
      </c>
      <c r="D143" s="3" t="n">
        <v>410</v>
      </c>
      <c r="E143" s="3" t="n">
        <v>69</v>
      </c>
      <c r="F143" s="3" t="n">
        <v>59</v>
      </c>
      <c r="G143" s="5" t="n">
        <v>48.25</v>
      </c>
      <c r="H143" s="15" t="n">
        <v>805.62</v>
      </c>
      <c r="I143" s="5">
        <f>IF(AND(ISNUMBER(G143),G143&gt;0),D143/(G143/7),"")</f>
        <v/>
      </c>
      <c r="J143" s="3">
        <f>IF(AND(ISNUMBER(E143),D143&lt;E143),1,0)</f>
        <v/>
      </c>
      <c r="K143" s="3" t="n">
        <v>355</v>
      </c>
      <c r="L143" s="3" t="n">
        <v>326</v>
      </c>
      <c r="M143" s="3" t="n">
        <v>47</v>
      </c>
      <c r="N143" s="4">
        <f>IF(AND(ISNUMBER(K143),K143&gt;0),M143/K143,"")</f>
        <v/>
      </c>
      <c r="O143" s="4">
        <f>IF(AND(ISNUMBER(K143),K143&gt;0),(L143-K143)/K143,"")</f>
        <v/>
      </c>
      <c r="P143" s="3" t="n"/>
      <c r="Q143" s="3" t="inlineStr">
        <is>
          <t>LOW</t>
        </is>
      </c>
      <c r="R143" s="6">
        <f>IF(ISNUMBER(G143),MAX(0,D143-Legend!$B$2*G143/7)*H143,0)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9" customWidth="1" min="4" max="4"/>
    <col width="12" customWidth="1" min="5" max="5"/>
    <col width="26" customWidth="1" min="6" max="6"/>
    <col width="33" customWidth="1" min="7" max="7"/>
  </cols>
  <sheetData>
    <row r="1">
      <c r="A1" s="2" t="inlineStr">
        <is>
          <t>market</t>
        </is>
      </c>
      <c r="B1" s="2" t="inlineStr">
        <is>
          <t>sku</t>
        </is>
      </c>
      <c r="C1" s="2" t="inlineStr">
        <is>
          <t>actual_units_8w</t>
        </is>
      </c>
      <c r="D1" s="2" t="inlineStr">
        <is>
          <t>forecast_units_8w</t>
        </is>
      </c>
      <c r="E1" s="2" t="inlineStr">
        <is>
          <t>abs_err_8w</t>
        </is>
      </c>
      <c r="F1" s="2" t="inlineStr">
        <is>
          <t>wape</t>
        </is>
      </c>
      <c r="G1" s="2" t="inlineStr">
        <is>
          <t>bias</t>
        </is>
      </c>
    </row>
    <row r="2">
      <c r="A2" s="3" t="inlineStr">
        <is>
          <t>APAC</t>
        </is>
      </c>
      <c r="B2" s="3" t="inlineStr">
        <is>
          <t>AP-ACC-002</t>
        </is>
      </c>
      <c r="C2" s="3" t="n">
        <v>547</v>
      </c>
      <c r="D2" s="3" t="n">
        <v>472</v>
      </c>
      <c r="E2" s="3" t="n">
        <v>79</v>
      </c>
      <c r="F2" s="4">
        <f>IF(C2&gt;0,E2/C2,"")</f>
        <v/>
      </c>
      <c r="G2" s="4">
        <f>IF(C2&gt;0,(D2-C2)/C2,"")</f>
        <v/>
      </c>
    </row>
    <row r="3">
      <c r="A3" s="3" t="inlineStr">
        <is>
          <t>APAC</t>
        </is>
      </c>
      <c r="B3" s="3" t="inlineStr">
        <is>
          <t>AP-ACC-006</t>
        </is>
      </c>
      <c r="C3" s="3" t="n">
        <v>316</v>
      </c>
      <c r="D3" s="3" t="n">
        <v>327</v>
      </c>
      <c r="E3" s="3" t="n">
        <v>65</v>
      </c>
      <c r="F3" s="4">
        <f>IF(C3&gt;0,E3/C3,"")</f>
        <v/>
      </c>
      <c r="G3" s="4">
        <f>IF(C3&gt;0,(D3-C3)/C3,"")</f>
        <v/>
      </c>
    </row>
    <row r="4">
      <c r="A4" s="3" t="inlineStr">
        <is>
          <t>APAC</t>
        </is>
      </c>
      <c r="B4" s="3" t="inlineStr">
        <is>
          <t>AP-ACC-010</t>
        </is>
      </c>
      <c r="C4" s="3" t="n">
        <v>365</v>
      </c>
      <c r="D4" s="3" t="n">
        <v>373</v>
      </c>
      <c r="E4" s="3" t="n">
        <v>58</v>
      </c>
      <c r="F4" s="4">
        <f>IF(C4&gt;0,E4/C4,"")</f>
        <v/>
      </c>
      <c r="G4" s="4">
        <f>IF(C4&gt;0,(D4-C4)/C4,"")</f>
        <v/>
      </c>
    </row>
    <row r="5">
      <c r="A5" s="3" t="inlineStr">
        <is>
          <t>APAC</t>
        </is>
      </c>
      <c r="B5" s="3" t="inlineStr">
        <is>
          <t>AP-ACC-014</t>
        </is>
      </c>
      <c r="C5" s="3" t="n">
        <v>1302</v>
      </c>
      <c r="D5" s="3" t="n">
        <v>1259</v>
      </c>
      <c r="E5" s="3" t="n">
        <v>301</v>
      </c>
      <c r="F5" s="4">
        <f>IF(C5&gt;0,E5/C5,"")</f>
        <v/>
      </c>
      <c r="G5" s="4">
        <f>IF(C5&gt;0,(D5-C5)/C5,"")</f>
        <v/>
      </c>
    </row>
    <row r="6">
      <c r="A6" s="3" t="inlineStr">
        <is>
          <t>APAC</t>
        </is>
      </c>
      <c r="B6" s="3" t="inlineStr">
        <is>
          <t>AP-ACC-018</t>
        </is>
      </c>
      <c r="C6" s="3" t="n">
        <v>411</v>
      </c>
      <c r="D6" s="3" t="n">
        <v>403</v>
      </c>
      <c r="E6" s="3" t="n">
        <v>60</v>
      </c>
      <c r="F6" s="4">
        <f>IF(C6&gt;0,E6/C6,"")</f>
        <v/>
      </c>
      <c r="G6" s="4">
        <f>IF(C6&gt;0,(D6-C6)/C6,"")</f>
        <v/>
      </c>
    </row>
    <row r="7">
      <c r="A7" s="3" t="inlineStr">
        <is>
          <t>APAC</t>
        </is>
      </c>
      <c r="B7" s="3" t="inlineStr">
        <is>
          <t>AP-ACC-022</t>
        </is>
      </c>
      <c r="C7" s="3" t="n">
        <v>440</v>
      </c>
      <c r="D7" s="3" t="n">
        <v>612</v>
      </c>
      <c r="E7" s="3" t="n">
        <v>172</v>
      </c>
      <c r="F7" s="4">
        <f>IF(C7&gt;0,E7/C7,"")</f>
        <v/>
      </c>
      <c r="G7" s="4">
        <f>IF(C7&gt;0,(D7-C7)/C7,"")</f>
        <v/>
      </c>
    </row>
    <row r="8">
      <c r="A8" s="3" t="inlineStr">
        <is>
          <t>APAC</t>
        </is>
      </c>
      <c r="B8" s="3" t="inlineStr">
        <is>
          <t>AP-ACC-026</t>
        </is>
      </c>
      <c r="C8" s="3" t="n">
        <v>403</v>
      </c>
      <c r="D8" s="3" t="n">
        <v>407</v>
      </c>
      <c r="E8" s="3" t="n">
        <v>42</v>
      </c>
      <c r="F8" s="4">
        <f>IF(C8&gt;0,E8/C8,"")</f>
        <v/>
      </c>
      <c r="G8" s="4">
        <f>IF(C8&gt;0,(D8-C8)/C8,"")</f>
        <v/>
      </c>
    </row>
    <row r="9">
      <c r="A9" s="3" t="inlineStr">
        <is>
          <t>APAC</t>
        </is>
      </c>
      <c r="B9" s="3" t="inlineStr">
        <is>
          <t>AP-ACC-030</t>
        </is>
      </c>
      <c r="C9" s="3" t="n">
        <v>1039</v>
      </c>
      <c r="D9" s="3" t="n">
        <v>1032</v>
      </c>
      <c r="E9" s="3" t="n">
        <v>83</v>
      </c>
      <c r="F9" s="4">
        <f>IF(C9&gt;0,E9/C9,"")</f>
        <v/>
      </c>
      <c r="G9" s="4">
        <f>IF(C9&gt;0,(D9-C9)/C9,"")</f>
        <v/>
      </c>
    </row>
    <row r="10">
      <c r="A10" s="3" t="inlineStr">
        <is>
          <t>APAC</t>
        </is>
      </c>
      <c r="B10" s="3" t="inlineStr">
        <is>
          <t>AP-ACC-034</t>
        </is>
      </c>
      <c r="C10" s="3" t="n">
        <v>493</v>
      </c>
      <c r="D10" s="3" t="n">
        <v>480</v>
      </c>
      <c r="E10" s="3" t="n">
        <v>131</v>
      </c>
      <c r="F10" s="4">
        <f>IF(C10&gt;0,E10/C10,"")</f>
        <v/>
      </c>
      <c r="G10" s="4">
        <f>IF(C10&gt;0,(D10-C10)/C10,"")</f>
        <v/>
      </c>
    </row>
    <row r="11">
      <c r="A11" s="3" t="inlineStr">
        <is>
          <t>APAC</t>
        </is>
      </c>
      <c r="B11" s="3" t="inlineStr">
        <is>
          <t>AP-ACC-038</t>
        </is>
      </c>
      <c r="C11" s="3" t="n">
        <v>420</v>
      </c>
      <c r="D11" s="3" t="n">
        <v>399</v>
      </c>
      <c r="E11" s="3" t="n">
        <v>55</v>
      </c>
      <c r="F11" s="4">
        <f>IF(C11&gt;0,E11/C11,"")</f>
        <v/>
      </c>
      <c r="G11" s="4">
        <f>IF(C11&gt;0,(D11-C11)/C11,"")</f>
        <v/>
      </c>
    </row>
    <row r="12">
      <c r="A12" s="3" t="inlineStr">
        <is>
          <t>APAC</t>
        </is>
      </c>
      <c r="B12" s="3" t="inlineStr">
        <is>
          <t>AP-ACC-042</t>
        </is>
      </c>
      <c r="C12" s="3" t="n">
        <v>1321</v>
      </c>
      <c r="D12" s="3" t="n">
        <v>1419</v>
      </c>
      <c r="E12" s="3" t="n">
        <v>206</v>
      </c>
      <c r="F12" s="4">
        <f>IF(C12&gt;0,E12/C12,"")</f>
        <v/>
      </c>
      <c r="G12" s="4">
        <f>IF(C12&gt;0,(D12-C12)/C12,"")</f>
        <v/>
      </c>
    </row>
    <row r="13">
      <c r="A13" s="3" t="inlineStr">
        <is>
          <t>APAC</t>
        </is>
      </c>
      <c r="B13" s="3" t="inlineStr">
        <is>
          <t>AP-DEV-001</t>
        </is>
      </c>
      <c r="C13" s="3" t="n">
        <v>1070</v>
      </c>
      <c r="D13" s="3" t="n">
        <v>1189</v>
      </c>
      <c r="E13" s="3" t="n">
        <v>251</v>
      </c>
      <c r="F13" s="4">
        <f>IF(C13&gt;0,E13/C13,"")</f>
        <v/>
      </c>
      <c r="G13" s="4">
        <f>IF(C13&gt;0,(D13-C13)/C13,"")</f>
        <v/>
      </c>
    </row>
    <row r="14">
      <c r="A14" s="3" t="inlineStr">
        <is>
          <t>APAC</t>
        </is>
      </c>
      <c r="B14" s="3" t="inlineStr">
        <is>
          <t>AP-DEV-005</t>
        </is>
      </c>
      <c r="C14" s="3" t="n">
        <v>217</v>
      </c>
      <c r="D14" s="3" t="n">
        <v>161</v>
      </c>
      <c r="E14" s="3" t="n">
        <v>64</v>
      </c>
      <c r="F14" s="4">
        <f>IF(C14&gt;0,E14/C14,"")</f>
        <v/>
      </c>
      <c r="G14" s="4">
        <f>IF(C14&gt;0,(D14-C14)/C14,"")</f>
        <v/>
      </c>
    </row>
    <row r="15">
      <c r="A15" s="3" t="inlineStr">
        <is>
          <t>APAC</t>
        </is>
      </c>
      <c r="B15" s="3" t="inlineStr">
        <is>
          <t>AP-DEV-009</t>
        </is>
      </c>
      <c r="C15" s="3" t="n">
        <v>671</v>
      </c>
      <c r="D15" s="3" t="n">
        <v>635</v>
      </c>
      <c r="E15" s="3" t="n">
        <v>70</v>
      </c>
      <c r="F15" s="4">
        <f>IF(C15&gt;0,E15/C15,"")</f>
        <v/>
      </c>
      <c r="G15" s="4">
        <f>IF(C15&gt;0,(D15-C15)/C15,"")</f>
        <v/>
      </c>
    </row>
    <row r="16">
      <c r="A16" s="3" t="inlineStr">
        <is>
          <t>APAC</t>
        </is>
      </c>
      <c r="B16" s="3" t="inlineStr">
        <is>
          <t>AP-DEV-013</t>
        </is>
      </c>
      <c r="C16" s="3" t="n">
        <v>923</v>
      </c>
      <c r="D16" s="3" t="n">
        <v>1060</v>
      </c>
      <c r="E16" s="3" t="n">
        <v>151</v>
      </c>
      <c r="F16" s="4">
        <f>IF(C16&gt;0,E16/C16,"")</f>
        <v/>
      </c>
      <c r="G16" s="4">
        <f>IF(C16&gt;0,(D16-C16)/C16,"")</f>
        <v/>
      </c>
    </row>
    <row r="17">
      <c r="A17" s="3" t="inlineStr">
        <is>
          <t>APAC</t>
        </is>
      </c>
      <c r="B17" s="3" t="inlineStr">
        <is>
          <t>AP-DEV-017</t>
        </is>
      </c>
      <c r="C17" s="3" t="n">
        <v>980</v>
      </c>
      <c r="D17" s="3" t="n">
        <v>920</v>
      </c>
      <c r="E17" s="3" t="n">
        <v>122</v>
      </c>
      <c r="F17" s="4">
        <f>IF(C17&gt;0,E17/C17,"")</f>
        <v/>
      </c>
      <c r="G17" s="4">
        <f>IF(C17&gt;0,(D17-C17)/C17,"")</f>
        <v/>
      </c>
    </row>
    <row r="18">
      <c r="A18" s="3" t="inlineStr">
        <is>
          <t>APAC</t>
        </is>
      </c>
      <c r="B18" s="3" t="inlineStr">
        <is>
          <t>AP-DEV-021</t>
        </is>
      </c>
      <c r="C18" s="3" t="n">
        <v>851</v>
      </c>
      <c r="D18" s="3" t="n">
        <v>881</v>
      </c>
      <c r="E18" s="3" t="n">
        <v>120</v>
      </c>
      <c r="F18" s="4">
        <f>IF(C18&gt;0,E18/C18,"")</f>
        <v/>
      </c>
      <c r="G18" s="4">
        <f>IF(C18&gt;0,(D18-C18)/C18,"")</f>
        <v/>
      </c>
    </row>
    <row r="19">
      <c r="A19" s="3" t="inlineStr">
        <is>
          <t>APAC</t>
        </is>
      </c>
      <c r="B19" s="3" t="inlineStr">
        <is>
          <t>AP-DEV-025</t>
        </is>
      </c>
      <c r="C19" s="3" t="n">
        <v>419</v>
      </c>
      <c r="D19" s="3" t="n">
        <v>497</v>
      </c>
      <c r="E19" s="3" t="n">
        <v>82</v>
      </c>
      <c r="F19" s="4">
        <f>IF(C19&gt;0,E19/C19,"")</f>
        <v/>
      </c>
      <c r="G19" s="4">
        <f>IF(C19&gt;0,(D19-C19)/C19,"")</f>
        <v/>
      </c>
    </row>
    <row r="20">
      <c r="A20" s="3" t="inlineStr">
        <is>
          <t>APAC</t>
        </is>
      </c>
      <c r="B20" s="3" t="inlineStr">
        <is>
          <t>AP-DEV-029</t>
        </is>
      </c>
      <c r="C20" s="3" t="n">
        <v>1206</v>
      </c>
      <c r="D20" s="3" t="n">
        <v>1149</v>
      </c>
      <c r="E20" s="3" t="n">
        <v>223</v>
      </c>
      <c r="F20" s="4">
        <f>IF(C20&gt;0,E20/C20,"")</f>
        <v/>
      </c>
      <c r="G20" s="4">
        <f>IF(C20&gt;0,(D20-C20)/C20,"")</f>
        <v/>
      </c>
    </row>
    <row r="21">
      <c r="A21" s="3" t="inlineStr">
        <is>
          <t>APAC</t>
        </is>
      </c>
      <c r="B21" s="3" t="inlineStr">
        <is>
          <t>AP-DEV-033</t>
        </is>
      </c>
      <c r="C21" s="3" t="n">
        <v>531</v>
      </c>
      <c r="D21" s="3" t="n">
        <v>521</v>
      </c>
      <c r="E21" s="3" t="n">
        <v>94</v>
      </c>
      <c r="F21" s="4">
        <f>IF(C21&gt;0,E21/C21,"")</f>
        <v/>
      </c>
      <c r="G21" s="4">
        <f>IF(C21&gt;0,(D21-C21)/C21,"")</f>
        <v/>
      </c>
    </row>
    <row r="22">
      <c r="A22" s="3" t="inlineStr">
        <is>
          <t>APAC</t>
        </is>
      </c>
      <c r="B22" s="3" t="inlineStr">
        <is>
          <t>AP-DEV-037</t>
        </is>
      </c>
      <c r="C22" s="3" t="n">
        <v>594</v>
      </c>
      <c r="D22" s="3" t="n">
        <v>634</v>
      </c>
      <c r="E22" s="3" t="n">
        <v>112</v>
      </c>
      <c r="F22" s="4">
        <f>IF(C22&gt;0,E22/C22,"")</f>
        <v/>
      </c>
      <c r="G22" s="4">
        <f>IF(C22&gt;0,(D22-C22)/C22,"")</f>
        <v/>
      </c>
    </row>
    <row r="23">
      <c r="A23" s="3" t="inlineStr">
        <is>
          <t>APAC</t>
        </is>
      </c>
      <c r="B23" s="3" t="inlineStr">
        <is>
          <t>AP-DEV-041</t>
        </is>
      </c>
      <c r="C23" s="3" t="n">
        <v>1546</v>
      </c>
      <c r="D23" s="3" t="n">
        <v>1380</v>
      </c>
      <c r="E23" s="3" t="n">
        <v>220</v>
      </c>
      <c r="F23" s="4">
        <f>IF(C23&gt;0,E23/C23,"")</f>
        <v/>
      </c>
      <c r="G23" s="4">
        <f>IF(C23&gt;0,(D23-C23)/C23,"")</f>
        <v/>
      </c>
    </row>
    <row r="24">
      <c r="A24" s="3" t="inlineStr">
        <is>
          <t>APAC</t>
        </is>
      </c>
      <c r="B24" s="3" t="inlineStr">
        <is>
          <t>AP-DEV-045</t>
        </is>
      </c>
      <c r="C24" s="3" t="n">
        <v>738</v>
      </c>
      <c r="D24" s="3" t="n">
        <v>838</v>
      </c>
      <c r="E24" s="3" t="n">
        <v>190</v>
      </c>
      <c r="F24" s="4">
        <f>IF(C24&gt;0,E24/C24,"")</f>
        <v/>
      </c>
      <c r="G24" s="4">
        <f>IF(C24&gt;0,(D24-C24)/C24,"")</f>
        <v/>
      </c>
    </row>
    <row r="25">
      <c r="A25" s="3" t="inlineStr">
        <is>
          <t>APAC</t>
        </is>
      </c>
      <c r="B25" s="3" t="inlineStr">
        <is>
          <t>AP-NET-003</t>
        </is>
      </c>
      <c r="C25" s="3" t="n">
        <v>1615</v>
      </c>
      <c r="D25" s="3" t="n">
        <v>1494</v>
      </c>
      <c r="E25" s="3" t="n">
        <v>231</v>
      </c>
      <c r="F25" s="4">
        <f>IF(C25&gt;0,E25/C25,"")</f>
        <v/>
      </c>
      <c r="G25" s="4">
        <f>IF(C25&gt;0,(D25-C25)/C25,"")</f>
        <v/>
      </c>
    </row>
    <row r="26">
      <c r="A26" s="3" t="inlineStr">
        <is>
          <t>APAC</t>
        </is>
      </c>
      <c r="B26" s="3" t="inlineStr">
        <is>
          <t>AP-NET-007</t>
        </is>
      </c>
      <c r="C26" s="3" t="n">
        <v>1042</v>
      </c>
      <c r="D26" s="3" t="n">
        <v>955</v>
      </c>
      <c r="E26" s="3" t="n">
        <v>163</v>
      </c>
      <c r="F26" s="4">
        <f>IF(C26&gt;0,E26/C26,"")</f>
        <v/>
      </c>
      <c r="G26" s="4">
        <f>IF(C26&gt;0,(D26-C26)/C26,"")</f>
        <v/>
      </c>
    </row>
    <row r="27">
      <c r="A27" s="3" t="inlineStr">
        <is>
          <t>APAC</t>
        </is>
      </c>
      <c r="B27" s="3" t="inlineStr">
        <is>
          <t>AP-NET-011</t>
        </is>
      </c>
      <c r="C27" s="3" t="n">
        <v>1395</v>
      </c>
      <c r="D27" s="3" t="n">
        <v>1469</v>
      </c>
      <c r="E27" s="3" t="n">
        <v>176</v>
      </c>
      <c r="F27" s="4">
        <f>IF(C27&gt;0,E27/C27,"")</f>
        <v/>
      </c>
      <c r="G27" s="4">
        <f>IF(C27&gt;0,(D27-C27)/C27,"")</f>
        <v/>
      </c>
    </row>
    <row r="28">
      <c r="A28" s="3" t="inlineStr">
        <is>
          <t>APAC</t>
        </is>
      </c>
      <c r="B28" s="3" t="inlineStr">
        <is>
          <t>AP-NET-015</t>
        </is>
      </c>
      <c r="C28" s="3" t="n">
        <v>1590</v>
      </c>
      <c r="D28" s="3" t="n">
        <v>1616</v>
      </c>
      <c r="E28" s="3" t="n">
        <v>184</v>
      </c>
      <c r="F28" s="4">
        <f>IF(C28&gt;0,E28/C28,"")</f>
        <v/>
      </c>
      <c r="G28" s="4">
        <f>IF(C28&gt;0,(D28-C28)/C28,"")</f>
        <v/>
      </c>
    </row>
    <row r="29">
      <c r="A29" s="3" t="inlineStr">
        <is>
          <t>APAC</t>
        </is>
      </c>
      <c r="B29" s="3" t="inlineStr">
        <is>
          <t>AP-NET-019</t>
        </is>
      </c>
      <c r="C29" s="3" t="n">
        <v>1913</v>
      </c>
      <c r="D29" s="3" t="n">
        <v>1798</v>
      </c>
      <c r="E29" s="3" t="n">
        <v>297</v>
      </c>
      <c r="F29" s="4">
        <f>IF(C29&gt;0,E29/C29,"")</f>
        <v/>
      </c>
      <c r="G29" s="4">
        <f>IF(C29&gt;0,(D29-C29)/C29,"")</f>
        <v/>
      </c>
    </row>
    <row r="30">
      <c r="A30" s="3" t="inlineStr">
        <is>
          <t>APAC</t>
        </is>
      </c>
      <c r="B30" s="3" t="inlineStr">
        <is>
          <t>AP-NET-023</t>
        </is>
      </c>
      <c r="C30" s="3" t="n">
        <v>1911</v>
      </c>
      <c r="D30" s="3" t="n">
        <v>1306</v>
      </c>
      <c r="E30" s="3" t="n">
        <v>605</v>
      </c>
      <c r="F30" s="4">
        <f>IF(C30&gt;0,E30/C30,"")</f>
        <v/>
      </c>
      <c r="G30" s="4">
        <f>IF(C30&gt;0,(D30-C30)/C30,"")</f>
        <v/>
      </c>
    </row>
    <row r="31">
      <c r="A31" s="3" t="inlineStr">
        <is>
          <t>APAC</t>
        </is>
      </c>
      <c r="B31" s="3" t="inlineStr">
        <is>
          <t>AP-NET-027</t>
        </is>
      </c>
      <c r="C31" s="3" t="n">
        <v>951</v>
      </c>
      <c r="D31" s="3" t="n">
        <v>962</v>
      </c>
      <c r="E31" s="3" t="n">
        <v>87</v>
      </c>
      <c r="F31" s="4">
        <f>IF(C31&gt;0,E31/C31,"")</f>
        <v/>
      </c>
      <c r="G31" s="4">
        <f>IF(C31&gt;0,(D31-C31)/C31,"")</f>
        <v/>
      </c>
    </row>
    <row r="32">
      <c r="A32" s="3" t="inlineStr">
        <is>
          <t>APAC</t>
        </is>
      </c>
      <c r="B32" s="3" t="inlineStr">
        <is>
          <t>AP-NET-031</t>
        </is>
      </c>
      <c r="C32" s="3" t="n">
        <v>4162</v>
      </c>
      <c r="D32" s="3" t="n">
        <v>4250</v>
      </c>
      <c r="E32" s="3" t="n">
        <v>702</v>
      </c>
      <c r="F32" s="4">
        <f>IF(C32&gt;0,E32/C32,"")</f>
        <v/>
      </c>
      <c r="G32" s="4">
        <f>IF(C32&gt;0,(D32-C32)/C32,"")</f>
        <v/>
      </c>
    </row>
    <row r="33">
      <c r="A33" s="3" t="inlineStr">
        <is>
          <t>APAC</t>
        </is>
      </c>
      <c r="B33" s="3" t="inlineStr">
        <is>
          <t>AP-NET-035</t>
        </is>
      </c>
      <c r="C33" s="3" t="n">
        <v>1481</v>
      </c>
      <c r="D33" s="3" t="n">
        <v>1295</v>
      </c>
      <c r="E33" s="3" t="n">
        <v>242</v>
      </c>
      <c r="F33" s="4">
        <f>IF(C33&gt;0,E33/C33,"")</f>
        <v/>
      </c>
      <c r="G33" s="4">
        <f>IF(C33&gt;0,(D33-C33)/C33,"")</f>
        <v/>
      </c>
    </row>
    <row r="34">
      <c r="A34" s="3" t="inlineStr">
        <is>
          <t>APAC</t>
        </is>
      </c>
      <c r="B34" s="3" t="inlineStr">
        <is>
          <t>AP-NET-039</t>
        </is>
      </c>
      <c r="C34" s="3" t="n">
        <v>452</v>
      </c>
      <c r="D34" s="3" t="n">
        <v>420</v>
      </c>
      <c r="E34" s="3" t="n">
        <v>64</v>
      </c>
      <c r="F34" s="4">
        <f>IF(C34&gt;0,E34/C34,"")</f>
        <v/>
      </c>
      <c r="G34" s="4">
        <f>IF(C34&gt;0,(D34-C34)/C34,"")</f>
        <v/>
      </c>
    </row>
    <row r="35">
      <c r="A35" s="3" t="inlineStr">
        <is>
          <t>APAC</t>
        </is>
      </c>
      <c r="B35" s="3" t="inlineStr">
        <is>
          <t>AP-NET-043</t>
        </is>
      </c>
      <c r="C35" s="3" t="n">
        <v>489</v>
      </c>
      <c r="D35" s="3" t="n">
        <v>466</v>
      </c>
      <c r="E35" s="3" t="n">
        <v>53</v>
      </c>
      <c r="F35" s="4">
        <f>IF(C35&gt;0,E35/C35,"")</f>
        <v/>
      </c>
      <c r="G35" s="4">
        <f>IF(C35&gt;0,(D35-C35)/C35,"")</f>
        <v/>
      </c>
    </row>
    <row r="36">
      <c r="A36" s="3" t="inlineStr">
        <is>
          <t>APAC</t>
        </is>
      </c>
      <c r="B36" s="3" t="inlineStr">
        <is>
          <t>AP-STO-004</t>
        </is>
      </c>
      <c r="C36" s="3" t="n">
        <v>1767</v>
      </c>
      <c r="D36" s="3" t="n">
        <v>1638</v>
      </c>
      <c r="E36" s="3" t="n">
        <v>235</v>
      </c>
      <c r="F36" s="4">
        <f>IF(C36&gt;0,E36/C36,"")</f>
        <v/>
      </c>
      <c r="G36" s="4">
        <f>IF(C36&gt;0,(D36-C36)/C36,"")</f>
        <v/>
      </c>
    </row>
    <row r="37">
      <c r="A37" s="3" t="inlineStr">
        <is>
          <t>APAC</t>
        </is>
      </c>
      <c r="B37" s="3" t="inlineStr">
        <is>
          <t>AP-STO-008</t>
        </is>
      </c>
      <c r="C37" s="3" t="n">
        <v>370</v>
      </c>
      <c r="D37" s="3" t="n">
        <v>435</v>
      </c>
      <c r="E37" s="3" t="n">
        <v>69</v>
      </c>
      <c r="F37" s="4">
        <f>IF(C37&gt;0,E37/C37,"")</f>
        <v/>
      </c>
      <c r="G37" s="4">
        <f>IF(C37&gt;0,(D37-C37)/C37,"")</f>
        <v/>
      </c>
    </row>
    <row r="38">
      <c r="A38" s="3" t="inlineStr">
        <is>
          <t>APAC</t>
        </is>
      </c>
      <c r="B38" s="3" t="inlineStr">
        <is>
          <t>AP-STO-012</t>
        </is>
      </c>
      <c r="C38" s="3" t="n">
        <v>1243</v>
      </c>
      <c r="D38" s="3" t="n">
        <v>1197</v>
      </c>
      <c r="E38" s="3" t="n">
        <v>176</v>
      </c>
      <c r="F38" s="4">
        <f>IF(C38&gt;0,E38/C38,"")</f>
        <v/>
      </c>
      <c r="G38" s="4">
        <f>IF(C38&gt;0,(D38-C38)/C38,"")</f>
        <v/>
      </c>
    </row>
    <row r="39">
      <c r="A39" s="3" t="inlineStr">
        <is>
          <t>APAC</t>
        </is>
      </c>
      <c r="B39" s="3" t="inlineStr">
        <is>
          <t>AP-STO-016</t>
        </is>
      </c>
      <c r="C39" s="3" t="n">
        <v>337</v>
      </c>
      <c r="D39" s="3" t="n">
        <v>304</v>
      </c>
      <c r="E39" s="3" t="n">
        <v>79</v>
      </c>
      <c r="F39" s="4">
        <f>IF(C39&gt;0,E39/C39,"")</f>
        <v/>
      </c>
      <c r="G39" s="4">
        <f>IF(C39&gt;0,(D39-C39)/C39,"")</f>
        <v/>
      </c>
    </row>
    <row r="40">
      <c r="A40" s="3" t="inlineStr">
        <is>
          <t>APAC</t>
        </is>
      </c>
      <c r="B40" s="3" t="inlineStr">
        <is>
          <t>AP-STO-020</t>
        </is>
      </c>
      <c r="C40" s="3" t="n">
        <v>810</v>
      </c>
      <c r="D40" s="3" t="n">
        <v>935</v>
      </c>
      <c r="E40" s="3" t="n">
        <v>193</v>
      </c>
      <c r="F40" s="4">
        <f>IF(C40&gt;0,E40/C40,"")</f>
        <v/>
      </c>
      <c r="G40" s="4">
        <f>IF(C40&gt;0,(D40-C40)/C40,"")</f>
        <v/>
      </c>
    </row>
    <row r="41">
      <c r="A41" s="3" t="inlineStr">
        <is>
          <t>APAC</t>
        </is>
      </c>
      <c r="B41" s="3" t="inlineStr">
        <is>
          <t>AP-STO-024</t>
        </is>
      </c>
      <c r="C41" s="3" t="n">
        <v>759</v>
      </c>
      <c r="D41" s="3" t="n">
        <v>826</v>
      </c>
      <c r="E41" s="3" t="n">
        <v>101</v>
      </c>
      <c r="F41" s="4">
        <f>IF(C41&gt;0,E41/C41,"")</f>
        <v/>
      </c>
      <c r="G41" s="4">
        <f>IF(C41&gt;0,(D41-C41)/C41,"")</f>
        <v/>
      </c>
    </row>
    <row r="42">
      <c r="A42" s="3" t="inlineStr">
        <is>
          <t>APAC</t>
        </is>
      </c>
      <c r="B42" s="3" t="inlineStr">
        <is>
          <t>AP-STO-028</t>
        </is>
      </c>
      <c r="C42" s="3" t="n">
        <v>711</v>
      </c>
      <c r="D42" s="3" t="n">
        <v>764</v>
      </c>
      <c r="E42" s="3" t="n">
        <v>237</v>
      </c>
      <c r="F42" s="4">
        <f>IF(C42&gt;0,E42/C42,"")</f>
        <v/>
      </c>
      <c r="G42" s="4">
        <f>IF(C42&gt;0,(D42-C42)/C42,"")</f>
        <v/>
      </c>
    </row>
    <row r="43">
      <c r="A43" s="3" t="inlineStr">
        <is>
          <t>APAC</t>
        </is>
      </c>
      <c r="B43" s="3" t="inlineStr">
        <is>
          <t>AP-STO-032</t>
        </is>
      </c>
      <c r="C43" s="3" t="n">
        <v>580</v>
      </c>
      <c r="D43" s="3" t="n">
        <v>579</v>
      </c>
      <c r="E43" s="3" t="n">
        <v>75</v>
      </c>
      <c r="F43" s="4">
        <f>IF(C43&gt;0,E43/C43,"")</f>
        <v/>
      </c>
      <c r="G43" s="4">
        <f>IF(C43&gt;0,(D43-C43)/C43,"")</f>
        <v/>
      </c>
    </row>
    <row r="44">
      <c r="A44" s="3" t="inlineStr">
        <is>
          <t>APAC</t>
        </is>
      </c>
      <c r="B44" s="3" t="inlineStr">
        <is>
          <t>AP-STO-036</t>
        </is>
      </c>
      <c r="C44" s="3" t="n">
        <v>1795</v>
      </c>
      <c r="D44" s="3" t="n">
        <v>1894</v>
      </c>
      <c r="E44" s="3" t="n">
        <v>251</v>
      </c>
      <c r="F44" s="4">
        <f>IF(C44&gt;0,E44/C44,"")</f>
        <v/>
      </c>
      <c r="G44" s="4">
        <f>IF(C44&gt;0,(D44-C44)/C44,"")</f>
        <v/>
      </c>
    </row>
    <row r="45">
      <c r="A45" s="3" t="inlineStr">
        <is>
          <t>APAC</t>
        </is>
      </c>
      <c r="B45" s="3" t="inlineStr">
        <is>
          <t>AP-STO-040</t>
        </is>
      </c>
      <c r="C45" s="3" t="n">
        <v>897</v>
      </c>
      <c r="D45" s="3" t="n">
        <v>832</v>
      </c>
      <c r="E45" s="3" t="n">
        <v>103</v>
      </c>
      <c r="F45" s="4">
        <f>IF(C45&gt;0,E45/C45,"")</f>
        <v/>
      </c>
      <c r="G45" s="4">
        <f>IF(C45&gt;0,(D45-C45)/C45,"")</f>
        <v/>
      </c>
    </row>
    <row r="46">
      <c r="A46" s="3" t="inlineStr">
        <is>
          <t>APAC</t>
        </is>
      </c>
      <c r="B46" s="3" t="inlineStr">
        <is>
          <t>AP-STO-044</t>
        </is>
      </c>
      <c r="C46" s="3" t="n">
        <v>783</v>
      </c>
      <c r="D46" s="3" t="n">
        <v>897</v>
      </c>
      <c r="E46" s="3" t="n">
        <v>128</v>
      </c>
      <c r="F46" s="4">
        <f>IF(C46&gt;0,E46/C46,"")</f>
        <v/>
      </c>
      <c r="G46" s="4">
        <f>IF(C46&gt;0,(D46-C46)/C46,"")</f>
        <v/>
      </c>
    </row>
    <row r="47">
      <c r="A47" s="3" t="inlineStr">
        <is>
          <t>India</t>
        </is>
      </c>
      <c r="B47" s="3" t="inlineStr">
        <is>
          <t>IN-ACC-002</t>
        </is>
      </c>
      <c r="C47" s="3" t="n">
        <v>758</v>
      </c>
      <c r="D47" s="3" t="n">
        <v>721</v>
      </c>
      <c r="E47" s="3" t="n">
        <v>69</v>
      </c>
      <c r="F47" s="4">
        <f>IF(C47&gt;0,E47/C47,"")</f>
        <v/>
      </c>
      <c r="G47" s="4">
        <f>IF(C47&gt;0,(D47-C47)/C47,"")</f>
        <v/>
      </c>
    </row>
    <row r="48">
      <c r="A48" s="3" t="inlineStr">
        <is>
          <t>India</t>
        </is>
      </c>
      <c r="B48" s="3" t="inlineStr">
        <is>
          <t>IN-ACC-006</t>
        </is>
      </c>
      <c r="C48" s="3" t="n">
        <v>755</v>
      </c>
      <c r="D48" s="3" t="n">
        <v>825</v>
      </c>
      <c r="E48" s="3" t="n">
        <v>104</v>
      </c>
      <c r="F48" s="4">
        <f>IF(C48&gt;0,E48/C48,"")</f>
        <v/>
      </c>
      <c r="G48" s="4">
        <f>IF(C48&gt;0,(D48-C48)/C48,"")</f>
        <v/>
      </c>
    </row>
    <row r="49">
      <c r="A49" s="3" t="inlineStr">
        <is>
          <t>India</t>
        </is>
      </c>
      <c r="B49" s="3" t="inlineStr">
        <is>
          <t>IN-ACC-010</t>
        </is>
      </c>
      <c r="C49" s="3" t="n">
        <v>381</v>
      </c>
      <c r="D49" s="3" t="n">
        <v>377</v>
      </c>
      <c r="E49" s="3" t="n">
        <v>64</v>
      </c>
      <c r="F49" s="4">
        <f>IF(C49&gt;0,E49/C49,"")</f>
        <v/>
      </c>
      <c r="G49" s="4">
        <f>IF(C49&gt;0,(D49-C49)/C49,"")</f>
        <v/>
      </c>
    </row>
    <row r="50">
      <c r="A50" s="3" t="inlineStr">
        <is>
          <t>India</t>
        </is>
      </c>
      <c r="B50" s="3" t="inlineStr">
        <is>
          <t>IN-ACC-014</t>
        </is>
      </c>
      <c r="C50" s="3" t="n">
        <v>799</v>
      </c>
      <c r="D50" s="3" t="n">
        <v>758</v>
      </c>
      <c r="E50" s="3" t="n">
        <v>131</v>
      </c>
      <c r="F50" s="4">
        <f>IF(C50&gt;0,E50/C50,"")</f>
        <v/>
      </c>
      <c r="G50" s="4">
        <f>IF(C50&gt;0,(D50-C50)/C50,"")</f>
        <v/>
      </c>
    </row>
    <row r="51">
      <c r="A51" s="3" t="inlineStr">
        <is>
          <t>India</t>
        </is>
      </c>
      <c r="B51" s="3" t="inlineStr">
        <is>
          <t>IN-ACC-018</t>
        </is>
      </c>
      <c r="C51" s="3" t="n">
        <v>1896</v>
      </c>
      <c r="D51" s="3" t="n">
        <v>1825</v>
      </c>
      <c r="E51" s="3" t="n">
        <v>571</v>
      </c>
      <c r="F51" s="4">
        <f>IF(C51&gt;0,E51/C51,"")</f>
        <v/>
      </c>
      <c r="G51" s="4">
        <f>IF(C51&gt;0,(D51-C51)/C51,"")</f>
        <v/>
      </c>
    </row>
    <row r="52">
      <c r="A52" s="3" t="inlineStr">
        <is>
          <t>India</t>
        </is>
      </c>
      <c r="B52" s="3" t="inlineStr">
        <is>
          <t>IN-ACC-022</t>
        </is>
      </c>
      <c r="C52" s="3" t="n">
        <v>577</v>
      </c>
      <c r="D52" s="3" t="n">
        <v>623</v>
      </c>
      <c r="E52" s="3" t="n">
        <v>82</v>
      </c>
      <c r="F52" s="4">
        <f>IF(C52&gt;0,E52/C52,"")</f>
        <v/>
      </c>
      <c r="G52" s="4">
        <f>IF(C52&gt;0,(D52-C52)/C52,"")</f>
        <v/>
      </c>
    </row>
    <row r="53">
      <c r="A53" s="3" t="inlineStr">
        <is>
          <t>India</t>
        </is>
      </c>
      <c r="B53" s="3" t="inlineStr">
        <is>
          <t>IN-ACC-026</t>
        </is>
      </c>
      <c r="C53" s="3" t="n">
        <v>616</v>
      </c>
      <c r="D53" s="3" t="n">
        <v>634</v>
      </c>
      <c r="E53" s="3" t="n">
        <v>78</v>
      </c>
      <c r="F53" s="4">
        <f>IF(C53&gt;0,E53/C53,"")</f>
        <v/>
      </c>
      <c r="G53" s="4">
        <f>IF(C53&gt;0,(D53-C53)/C53,"")</f>
        <v/>
      </c>
    </row>
    <row r="54">
      <c r="A54" s="3" t="inlineStr">
        <is>
          <t>India</t>
        </is>
      </c>
      <c r="B54" s="3" t="inlineStr">
        <is>
          <t>IN-ACC-030</t>
        </is>
      </c>
      <c r="C54" s="3" t="n">
        <v>268</v>
      </c>
      <c r="D54" s="3" t="n">
        <v>275</v>
      </c>
      <c r="E54" s="3" t="n">
        <v>53</v>
      </c>
      <c r="F54" s="4">
        <f>IF(C54&gt;0,E54/C54,"")</f>
        <v/>
      </c>
      <c r="G54" s="4">
        <f>IF(C54&gt;0,(D54-C54)/C54,"")</f>
        <v/>
      </c>
    </row>
    <row r="55">
      <c r="A55" s="3" t="inlineStr">
        <is>
          <t>India</t>
        </is>
      </c>
      <c r="B55" s="3" t="inlineStr">
        <is>
          <t>IN-ACC-034</t>
        </is>
      </c>
      <c r="C55" s="3" t="n">
        <v>847</v>
      </c>
      <c r="D55" s="3" t="n">
        <v>1117</v>
      </c>
      <c r="E55" s="3" t="n">
        <v>270</v>
      </c>
      <c r="F55" s="4">
        <f>IF(C55&gt;0,E55/C55,"")</f>
        <v/>
      </c>
      <c r="G55" s="4">
        <f>IF(C55&gt;0,(D55-C55)/C55,"")</f>
        <v/>
      </c>
    </row>
    <row r="56">
      <c r="A56" s="3" t="inlineStr">
        <is>
          <t>India</t>
        </is>
      </c>
      <c r="B56" s="3" t="inlineStr">
        <is>
          <t>IN-ACC-038</t>
        </is>
      </c>
      <c r="C56" s="3" t="n">
        <v>2941</v>
      </c>
      <c r="D56" s="3" t="n">
        <v>2958</v>
      </c>
      <c r="E56" s="3" t="n">
        <v>427</v>
      </c>
      <c r="F56" s="4">
        <f>IF(C56&gt;0,E56/C56,"")</f>
        <v/>
      </c>
      <c r="G56" s="4">
        <f>IF(C56&gt;0,(D56-C56)/C56,"")</f>
        <v/>
      </c>
    </row>
    <row r="57">
      <c r="A57" s="3" t="inlineStr">
        <is>
          <t>India</t>
        </is>
      </c>
      <c r="B57" s="3" t="inlineStr">
        <is>
          <t>IN-DEV-001</t>
        </is>
      </c>
      <c r="C57" s="3" t="n">
        <v>667</v>
      </c>
      <c r="D57" s="3" t="n">
        <v>686</v>
      </c>
      <c r="E57" s="3" t="n">
        <v>69</v>
      </c>
      <c r="F57" s="4">
        <f>IF(C57&gt;0,E57/C57,"")</f>
        <v/>
      </c>
      <c r="G57" s="4">
        <f>IF(C57&gt;0,(D57-C57)/C57,"")</f>
        <v/>
      </c>
    </row>
    <row r="58">
      <c r="A58" s="3" t="inlineStr">
        <is>
          <t>India</t>
        </is>
      </c>
      <c r="B58" s="3" t="inlineStr">
        <is>
          <t>IN-DEV-005</t>
        </is>
      </c>
      <c r="C58" s="3" t="n">
        <v>514</v>
      </c>
      <c r="D58" s="3" t="n">
        <v>664</v>
      </c>
      <c r="E58" s="3" t="n">
        <v>150</v>
      </c>
      <c r="F58" s="4">
        <f>IF(C58&gt;0,E58/C58,"")</f>
        <v/>
      </c>
      <c r="G58" s="4">
        <f>IF(C58&gt;0,(D58-C58)/C58,"")</f>
        <v/>
      </c>
    </row>
    <row r="59">
      <c r="A59" s="3" t="inlineStr">
        <is>
          <t>India</t>
        </is>
      </c>
      <c r="B59" s="3" t="inlineStr">
        <is>
          <t>IN-DEV-009</t>
        </is>
      </c>
      <c r="C59" s="3" t="n">
        <v>3085</v>
      </c>
      <c r="D59" s="3" t="n">
        <v>2662</v>
      </c>
      <c r="E59" s="3" t="n">
        <v>715</v>
      </c>
      <c r="F59" s="4">
        <f>IF(C59&gt;0,E59/C59,"")</f>
        <v/>
      </c>
      <c r="G59" s="4">
        <f>IF(C59&gt;0,(D59-C59)/C59,"")</f>
        <v/>
      </c>
    </row>
    <row r="60">
      <c r="A60" s="3" t="inlineStr">
        <is>
          <t>India</t>
        </is>
      </c>
      <c r="B60" s="3" t="inlineStr">
        <is>
          <t>IN-DEV-013</t>
        </is>
      </c>
      <c r="C60" s="3" t="n">
        <v>4535</v>
      </c>
      <c r="D60" s="3" t="n">
        <v>4529</v>
      </c>
      <c r="E60" s="3" t="n">
        <v>820</v>
      </c>
      <c r="F60" s="4">
        <f>IF(C60&gt;0,E60/C60,"")</f>
        <v/>
      </c>
      <c r="G60" s="4">
        <f>IF(C60&gt;0,(D60-C60)/C60,"")</f>
        <v/>
      </c>
    </row>
    <row r="61">
      <c r="A61" s="3" t="inlineStr">
        <is>
          <t>India</t>
        </is>
      </c>
      <c r="B61" s="3" t="inlineStr">
        <is>
          <t>IN-DEV-017</t>
        </is>
      </c>
      <c r="C61" s="3" t="n">
        <v>715</v>
      </c>
      <c r="D61" s="3" t="n">
        <v>696</v>
      </c>
      <c r="E61" s="3" t="n">
        <v>101</v>
      </c>
      <c r="F61" s="4">
        <f>IF(C61&gt;0,E61/C61,"")</f>
        <v/>
      </c>
      <c r="G61" s="4">
        <f>IF(C61&gt;0,(D61-C61)/C61,"")</f>
        <v/>
      </c>
    </row>
    <row r="62">
      <c r="A62" s="3" t="inlineStr">
        <is>
          <t>India</t>
        </is>
      </c>
      <c r="B62" s="3" t="inlineStr">
        <is>
          <t>IN-DEV-021</t>
        </is>
      </c>
      <c r="C62" s="3" t="n">
        <v>955</v>
      </c>
      <c r="D62" s="3" t="n">
        <v>937</v>
      </c>
      <c r="E62" s="3" t="n">
        <v>124</v>
      </c>
      <c r="F62" s="4">
        <f>IF(C62&gt;0,E62/C62,"")</f>
        <v/>
      </c>
      <c r="G62" s="4">
        <f>IF(C62&gt;0,(D62-C62)/C62,"")</f>
        <v/>
      </c>
    </row>
    <row r="63">
      <c r="A63" s="3" t="inlineStr">
        <is>
          <t>India</t>
        </is>
      </c>
      <c r="B63" s="3" t="inlineStr">
        <is>
          <t>IN-DEV-025</t>
        </is>
      </c>
      <c r="C63" s="3" t="n">
        <v>455</v>
      </c>
      <c r="D63" s="3" t="n">
        <v>433</v>
      </c>
      <c r="E63" s="3" t="n">
        <v>72</v>
      </c>
      <c r="F63" s="4">
        <f>IF(C63&gt;0,E63/C63,"")</f>
        <v/>
      </c>
      <c r="G63" s="4">
        <f>IF(C63&gt;0,(D63-C63)/C63,"")</f>
        <v/>
      </c>
    </row>
    <row r="64">
      <c r="A64" s="3" t="inlineStr">
        <is>
          <t>India</t>
        </is>
      </c>
      <c r="B64" s="3" t="inlineStr">
        <is>
          <t>IN-DEV-029</t>
        </is>
      </c>
      <c r="C64" s="3" t="n">
        <v>1353</v>
      </c>
      <c r="D64" s="3" t="n">
        <v>1174</v>
      </c>
      <c r="E64" s="3" t="n">
        <v>293</v>
      </c>
      <c r="F64" s="4">
        <f>IF(C64&gt;0,E64/C64,"")</f>
        <v/>
      </c>
      <c r="G64" s="4">
        <f>IF(C64&gt;0,(D64-C64)/C64,"")</f>
        <v/>
      </c>
    </row>
    <row r="65">
      <c r="A65" s="3" t="inlineStr">
        <is>
          <t>India</t>
        </is>
      </c>
      <c r="B65" s="3" t="inlineStr">
        <is>
          <t>IN-DEV-033</t>
        </is>
      </c>
      <c r="C65" s="3" t="n">
        <v>472</v>
      </c>
      <c r="D65" s="3" t="n">
        <v>483</v>
      </c>
      <c r="E65" s="3" t="n">
        <v>85</v>
      </c>
      <c r="F65" s="4">
        <f>IF(C65&gt;0,E65/C65,"")</f>
        <v/>
      </c>
      <c r="G65" s="4">
        <f>IF(C65&gt;0,(D65-C65)/C65,"")</f>
        <v/>
      </c>
    </row>
    <row r="66">
      <c r="A66" s="3" t="inlineStr">
        <is>
          <t>India</t>
        </is>
      </c>
      <c r="B66" s="3" t="inlineStr">
        <is>
          <t>IN-DEV-037</t>
        </is>
      </c>
      <c r="C66" s="3" t="n">
        <v>601</v>
      </c>
      <c r="D66" s="3" t="n">
        <v>584</v>
      </c>
      <c r="E66" s="3" t="n">
        <v>89</v>
      </c>
      <c r="F66" s="4">
        <f>IF(C66&gt;0,E66/C66,"")</f>
        <v/>
      </c>
      <c r="G66" s="4">
        <f>IF(C66&gt;0,(D66-C66)/C66,"")</f>
        <v/>
      </c>
    </row>
    <row r="67">
      <c r="A67" s="3" t="inlineStr">
        <is>
          <t>India</t>
        </is>
      </c>
      <c r="B67" s="3" t="inlineStr">
        <is>
          <t>IN-NET-003</t>
        </is>
      </c>
      <c r="C67" s="3" t="n">
        <v>251</v>
      </c>
      <c r="D67" s="3" t="n">
        <v>264</v>
      </c>
      <c r="E67" s="3" t="n">
        <v>51</v>
      </c>
      <c r="F67" s="4">
        <f>IF(C67&gt;0,E67/C67,"")</f>
        <v/>
      </c>
      <c r="G67" s="4">
        <f>IF(C67&gt;0,(D67-C67)/C67,"")</f>
        <v/>
      </c>
    </row>
    <row r="68">
      <c r="A68" s="3" t="inlineStr">
        <is>
          <t>India</t>
        </is>
      </c>
      <c r="B68" s="3" t="inlineStr">
        <is>
          <t>IN-NET-007</t>
        </is>
      </c>
      <c r="C68" s="3" t="n">
        <v>999</v>
      </c>
      <c r="D68" s="3" t="n">
        <v>964</v>
      </c>
      <c r="E68" s="3" t="n">
        <v>195</v>
      </c>
      <c r="F68" s="4">
        <f>IF(C68&gt;0,E68/C68,"")</f>
        <v/>
      </c>
      <c r="G68" s="4">
        <f>IF(C68&gt;0,(D68-C68)/C68,"")</f>
        <v/>
      </c>
    </row>
    <row r="69">
      <c r="A69" s="3" t="inlineStr">
        <is>
          <t>India</t>
        </is>
      </c>
      <c r="B69" s="3" t="inlineStr">
        <is>
          <t>IN-NET-011</t>
        </is>
      </c>
      <c r="C69" s="3" t="n">
        <v>633</v>
      </c>
      <c r="D69" s="3" t="n">
        <v>621</v>
      </c>
      <c r="E69" s="3" t="n">
        <v>104</v>
      </c>
      <c r="F69" s="4">
        <f>IF(C69&gt;0,E69/C69,"")</f>
        <v/>
      </c>
      <c r="G69" s="4">
        <f>IF(C69&gt;0,(D69-C69)/C69,"")</f>
        <v/>
      </c>
    </row>
    <row r="70">
      <c r="A70" s="3" t="inlineStr">
        <is>
          <t>India</t>
        </is>
      </c>
      <c r="B70" s="3" t="inlineStr">
        <is>
          <t>IN-NET-015</t>
        </is>
      </c>
      <c r="C70" s="3" t="n">
        <v>973</v>
      </c>
      <c r="D70" s="3" t="n">
        <v>1026</v>
      </c>
      <c r="E70" s="3" t="n">
        <v>177</v>
      </c>
      <c r="F70" s="4">
        <f>IF(C70&gt;0,E70/C70,"")</f>
        <v/>
      </c>
      <c r="G70" s="4">
        <f>IF(C70&gt;0,(D70-C70)/C70,"")</f>
        <v/>
      </c>
    </row>
    <row r="71">
      <c r="A71" s="3" t="inlineStr">
        <is>
          <t>India</t>
        </is>
      </c>
      <c r="B71" s="3" t="inlineStr">
        <is>
          <t>IN-NET-019</t>
        </is>
      </c>
      <c r="C71" s="3" t="n">
        <v>566</v>
      </c>
      <c r="D71" s="3" t="n">
        <v>581</v>
      </c>
      <c r="E71" s="3" t="n">
        <v>117</v>
      </c>
      <c r="F71" s="4">
        <f>IF(C71&gt;0,E71/C71,"")</f>
        <v/>
      </c>
      <c r="G71" s="4">
        <f>IF(C71&gt;0,(D71-C71)/C71,"")</f>
        <v/>
      </c>
    </row>
    <row r="72">
      <c r="A72" s="3" t="inlineStr">
        <is>
          <t>India</t>
        </is>
      </c>
      <c r="B72" s="3" t="inlineStr">
        <is>
          <t>IN-NET-023</t>
        </is>
      </c>
      <c r="C72" s="3" t="n">
        <v>883</v>
      </c>
      <c r="D72" s="3" t="n">
        <v>847</v>
      </c>
      <c r="E72" s="3" t="n">
        <v>150</v>
      </c>
      <c r="F72" s="4">
        <f>IF(C72&gt;0,E72/C72,"")</f>
        <v/>
      </c>
      <c r="G72" s="4">
        <f>IF(C72&gt;0,(D72-C72)/C72,"")</f>
        <v/>
      </c>
    </row>
    <row r="73">
      <c r="A73" s="3" t="inlineStr">
        <is>
          <t>India</t>
        </is>
      </c>
      <c r="B73" s="3" t="inlineStr">
        <is>
          <t>IN-NET-027</t>
        </is>
      </c>
      <c r="C73" s="3" t="n">
        <v>411</v>
      </c>
      <c r="D73" s="3" t="n">
        <v>372</v>
      </c>
      <c r="E73" s="3" t="n">
        <v>71</v>
      </c>
      <c r="F73" s="4">
        <f>IF(C73&gt;0,E73/C73,"")</f>
        <v/>
      </c>
      <c r="G73" s="4">
        <f>IF(C73&gt;0,(D73-C73)/C73,"")</f>
        <v/>
      </c>
    </row>
    <row r="74">
      <c r="A74" s="3" t="inlineStr">
        <is>
          <t>India</t>
        </is>
      </c>
      <c r="B74" s="3" t="inlineStr">
        <is>
          <t>IN-NET-031</t>
        </is>
      </c>
      <c r="C74" s="3" t="n">
        <v>1244</v>
      </c>
      <c r="D74" s="3" t="n">
        <v>1790</v>
      </c>
      <c r="E74" s="3" t="n">
        <v>552</v>
      </c>
      <c r="F74" s="4">
        <f>IF(C74&gt;0,E74/C74,"")</f>
        <v/>
      </c>
      <c r="G74" s="4">
        <f>IF(C74&gt;0,(D74-C74)/C74,"")</f>
        <v/>
      </c>
    </row>
    <row r="75">
      <c r="A75" s="3" t="inlineStr">
        <is>
          <t>India</t>
        </is>
      </c>
      <c r="B75" s="3" t="inlineStr">
        <is>
          <t>IN-NET-035</t>
        </is>
      </c>
      <c r="C75" s="3" t="n">
        <v>1282</v>
      </c>
      <c r="D75" s="3" t="n">
        <v>1295</v>
      </c>
      <c r="E75" s="3" t="n">
        <v>225</v>
      </c>
      <c r="F75" s="4">
        <f>IF(C75&gt;0,E75/C75,"")</f>
        <v/>
      </c>
      <c r="G75" s="4">
        <f>IF(C75&gt;0,(D75-C75)/C75,"")</f>
        <v/>
      </c>
    </row>
    <row r="76">
      <c r="A76" s="3" t="inlineStr">
        <is>
          <t>India</t>
        </is>
      </c>
      <c r="B76" s="3" t="inlineStr">
        <is>
          <t>IN-NET-039</t>
        </is>
      </c>
      <c r="C76" s="3" t="n">
        <v>314</v>
      </c>
      <c r="D76" s="3" t="n">
        <v>318</v>
      </c>
      <c r="E76" s="3" t="n">
        <v>54</v>
      </c>
      <c r="F76" s="4">
        <f>IF(C76&gt;0,E76/C76,"")</f>
        <v/>
      </c>
      <c r="G76" s="4">
        <f>IF(C76&gt;0,(D76-C76)/C76,"")</f>
        <v/>
      </c>
    </row>
    <row r="77">
      <c r="A77" s="3" t="inlineStr">
        <is>
          <t>India</t>
        </is>
      </c>
      <c r="B77" s="3" t="inlineStr">
        <is>
          <t>IN-STO-004</t>
        </is>
      </c>
      <c r="C77" s="3" t="n">
        <v>359</v>
      </c>
      <c r="D77" s="3" t="n">
        <v>364</v>
      </c>
      <c r="E77" s="3" t="n">
        <v>75</v>
      </c>
      <c r="F77" s="4">
        <f>IF(C77&gt;0,E77/C77,"")</f>
        <v/>
      </c>
      <c r="G77" s="4">
        <f>IF(C77&gt;0,(D77-C77)/C77,"")</f>
        <v/>
      </c>
    </row>
    <row r="78">
      <c r="A78" s="3" t="inlineStr">
        <is>
          <t>India</t>
        </is>
      </c>
      <c r="B78" s="3" t="inlineStr">
        <is>
          <t>IN-STO-008</t>
        </is>
      </c>
      <c r="C78" s="3" t="n">
        <v>3147</v>
      </c>
      <c r="D78" s="3" t="n">
        <v>3344</v>
      </c>
      <c r="E78" s="3" t="n">
        <v>781</v>
      </c>
      <c r="F78" s="4">
        <f>IF(C78&gt;0,E78/C78,"")</f>
        <v/>
      </c>
      <c r="G78" s="4">
        <f>IF(C78&gt;0,(D78-C78)/C78,"")</f>
        <v/>
      </c>
    </row>
    <row r="79">
      <c r="A79" s="3" t="inlineStr">
        <is>
          <t>India</t>
        </is>
      </c>
      <c r="B79" s="3" t="inlineStr">
        <is>
          <t>IN-STO-012</t>
        </is>
      </c>
      <c r="C79" s="3" t="n">
        <v>470</v>
      </c>
      <c r="D79" s="3" t="n">
        <v>444</v>
      </c>
      <c r="E79" s="3" t="n">
        <v>70</v>
      </c>
      <c r="F79" s="4">
        <f>IF(C79&gt;0,E79/C79,"")</f>
        <v/>
      </c>
      <c r="G79" s="4">
        <f>IF(C79&gt;0,(D79-C79)/C79,"")</f>
        <v/>
      </c>
    </row>
    <row r="80">
      <c r="A80" s="3" t="inlineStr">
        <is>
          <t>India</t>
        </is>
      </c>
      <c r="B80" s="3" t="inlineStr">
        <is>
          <t>IN-STO-016</t>
        </is>
      </c>
      <c r="C80" s="3" t="n">
        <v>455</v>
      </c>
      <c r="D80" s="3" t="n">
        <v>474</v>
      </c>
      <c r="E80" s="3" t="n">
        <v>63</v>
      </c>
      <c r="F80" s="4">
        <f>IF(C80&gt;0,E80/C80,"")</f>
        <v/>
      </c>
      <c r="G80" s="4">
        <f>IF(C80&gt;0,(D80-C80)/C80,"")</f>
        <v/>
      </c>
    </row>
    <row r="81">
      <c r="A81" s="3" t="inlineStr">
        <is>
          <t>India</t>
        </is>
      </c>
      <c r="B81" s="3" t="inlineStr">
        <is>
          <t>IN-STO-020</t>
        </is>
      </c>
      <c r="C81" s="3" t="n">
        <v>777</v>
      </c>
      <c r="D81" s="3" t="n">
        <v>830</v>
      </c>
      <c r="E81" s="3" t="n">
        <v>177</v>
      </c>
      <c r="F81" s="4">
        <f>IF(C81&gt;0,E81/C81,"")</f>
        <v/>
      </c>
      <c r="G81" s="4">
        <f>IF(C81&gt;0,(D81-C81)/C81,"")</f>
        <v/>
      </c>
    </row>
    <row r="82">
      <c r="A82" s="3" t="inlineStr">
        <is>
          <t>India</t>
        </is>
      </c>
      <c r="B82" s="3" t="inlineStr">
        <is>
          <t>IN-STO-024</t>
        </is>
      </c>
      <c r="C82" s="3" t="n">
        <v>1272</v>
      </c>
      <c r="D82" s="3" t="n">
        <v>1262</v>
      </c>
      <c r="E82" s="3" t="n">
        <v>222</v>
      </c>
      <c r="F82" s="4">
        <f>IF(C82&gt;0,E82/C82,"")</f>
        <v/>
      </c>
      <c r="G82" s="4">
        <f>IF(C82&gt;0,(D82-C82)/C82,"")</f>
        <v/>
      </c>
    </row>
    <row r="83">
      <c r="A83" s="3" t="inlineStr">
        <is>
          <t>India</t>
        </is>
      </c>
      <c r="B83" s="3" t="inlineStr">
        <is>
          <t>IN-STO-028</t>
        </is>
      </c>
      <c r="C83" s="3" t="n">
        <v>298</v>
      </c>
      <c r="D83" s="3" t="n">
        <v>298</v>
      </c>
      <c r="E83" s="3" t="n">
        <v>38</v>
      </c>
      <c r="F83" s="4">
        <f>IF(C83&gt;0,E83/C83,"")</f>
        <v/>
      </c>
      <c r="G83" s="4">
        <f>IF(C83&gt;0,(D83-C83)/C83,"")</f>
        <v/>
      </c>
    </row>
    <row r="84">
      <c r="A84" s="3" t="inlineStr">
        <is>
          <t>India</t>
        </is>
      </c>
      <c r="B84" s="3" t="inlineStr">
        <is>
          <t>IN-STO-032</t>
        </is>
      </c>
      <c r="C84" s="3" t="n">
        <v>341</v>
      </c>
      <c r="D84" s="3" t="n">
        <v>350</v>
      </c>
      <c r="E84" s="3" t="n">
        <v>75</v>
      </c>
      <c r="F84" s="4">
        <f>IF(C84&gt;0,E84/C84,"")</f>
        <v/>
      </c>
      <c r="G84" s="4">
        <f>IF(C84&gt;0,(D84-C84)/C84,"")</f>
        <v/>
      </c>
    </row>
    <row r="85">
      <c r="A85" s="3" t="inlineStr">
        <is>
          <t>India</t>
        </is>
      </c>
      <c r="B85" s="3" t="inlineStr">
        <is>
          <t>IN-STO-036</t>
        </is>
      </c>
      <c r="C85" s="3" t="n">
        <v>1332</v>
      </c>
      <c r="D85" s="3" t="n">
        <v>1465</v>
      </c>
      <c r="E85" s="3" t="n">
        <v>239</v>
      </c>
      <c r="F85" s="4">
        <f>IF(C85&gt;0,E85/C85,"")</f>
        <v/>
      </c>
      <c r="G85" s="4">
        <f>IF(C85&gt;0,(D85-C85)/C85,"")</f>
        <v/>
      </c>
    </row>
    <row r="86">
      <c r="A86" s="3" t="inlineStr">
        <is>
          <t>India</t>
        </is>
      </c>
      <c r="B86" s="3" t="inlineStr">
        <is>
          <t>IN-STO-040</t>
        </is>
      </c>
      <c r="C86" s="3" t="n">
        <v>513</v>
      </c>
      <c r="D86" s="3" t="n">
        <v>527</v>
      </c>
      <c r="E86" s="3" t="n">
        <v>64</v>
      </c>
      <c r="F86" s="4">
        <f>IF(C86&gt;0,E86/C86,"")</f>
        <v/>
      </c>
      <c r="G86" s="4">
        <f>IF(C86&gt;0,(D86-C86)/C86,"")</f>
        <v/>
      </c>
    </row>
    <row r="87">
      <c r="A87" s="3" t="inlineStr">
        <is>
          <t>MENA-PAK</t>
        </is>
      </c>
      <c r="B87" s="3" t="inlineStr">
        <is>
          <t>MP-ACC-002</t>
        </is>
      </c>
      <c r="C87" s="3" t="n">
        <v>304</v>
      </c>
      <c r="D87" s="3" t="n">
        <v>343</v>
      </c>
      <c r="E87" s="3" t="n">
        <v>89</v>
      </c>
      <c r="F87" s="4">
        <f>IF(C87&gt;0,E87/C87,"")</f>
        <v/>
      </c>
      <c r="G87" s="4">
        <f>IF(C87&gt;0,(D87-C87)/C87,"")</f>
        <v/>
      </c>
    </row>
    <row r="88">
      <c r="A88" s="3" t="inlineStr">
        <is>
          <t>MENA-PAK</t>
        </is>
      </c>
      <c r="B88" s="3" t="inlineStr">
        <is>
          <t>MP-ACC-006</t>
        </is>
      </c>
      <c r="C88" s="3" t="n">
        <v>466</v>
      </c>
      <c r="D88" s="3" t="n">
        <v>515</v>
      </c>
      <c r="E88" s="3" t="n">
        <v>111</v>
      </c>
      <c r="F88" s="4">
        <f>IF(C88&gt;0,E88/C88,"")</f>
        <v/>
      </c>
      <c r="G88" s="4">
        <f>IF(C88&gt;0,(D88-C88)/C88,"")</f>
        <v/>
      </c>
    </row>
    <row r="89">
      <c r="A89" s="3" t="inlineStr">
        <is>
          <t>MENA-PAK</t>
        </is>
      </c>
      <c r="B89" s="3" t="inlineStr">
        <is>
          <t>MP-ACC-010</t>
        </is>
      </c>
      <c r="C89" s="3" t="n">
        <v>514</v>
      </c>
      <c r="D89" s="3" t="n">
        <v>539</v>
      </c>
      <c r="E89" s="3" t="n">
        <v>115</v>
      </c>
      <c r="F89" s="4">
        <f>IF(C89&gt;0,E89/C89,"")</f>
        <v/>
      </c>
      <c r="G89" s="4">
        <f>IF(C89&gt;0,(D89-C89)/C89,"")</f>
        <v/>
      </c>
    </row>
    <row r="90">
      <c r="A90" s="3" t="inlineStr">
        <is>
          <t>MENA-PAK</t>
        </is>
      </c>
      <c r="B90" s="3" t="inlineStr">
        <is>
          <t>MP-ACC-014</t>
        </is>
      </c>
      <c r="C90" s="3" t="n">
        <v>859</v>
      </c>
      <c r="D90" s="3" t="n">
        <v>880</v>
      </c>
      <c r="E90" s="3" t="n">
        <v>377</v>
      </c>
      <c r="F90" s="4">
        <f>IF(C90&gt;0,E90/C90,"")</f>
        <v/>
      </c>
      <c r="G90" s="4">
        <f>IF(C90&gt;0,(D90-C90)/C90,"")</f>
        <v/>
      </c>
    </row>
    <row r="91">
      <c r="A91" s="3" t="inlineStr">
        <is>
          <t>MENA-PAK</t>
        </is>
      </c>
      <c r="B91" s="3" t="inlineStr">
        <is>
          <t>MP-ACC-018</t>
        </is>
      </c>
      <c r="C91" s="3" t="n">
        <v>1898</v>
      </c>
      <c r="D91" s="3" t="n">
        <v>2053</v>
      </c>
      <c r="E91" s="3" t="n">
        <v>583</v>
      </c>
      <c r="F91" s="4">
        <f>IF(C91&gt;0,E91/C91,"")</f>
        <v/>
      </c>
      <c r="G91" s="4">
        <f>IF(C91&gt;0,(D91-C91)/C91,"")</f>
        <v/>
      </c>
    </row>
    <row r="92">
      <c r="A92" s="3" t="inlineStr">
        <is>
          <t>MENA-PAK</t>
        </is>
      </c>
      <c r="B92" s="3" t="inlineStr">
        <is>
          <t>MP-ACC-022</t>
        </is>
      </c>
      <c r="C92" s="3" t="n">
        <v>1754</v>
      </c>
      <c r="D92" s="3" t="n">
        <v>1475</v>
      </c>
      <c r="E92" s="3" t="n">
        <v>345</v>
      </c>
      <c r="F92" s="4">
        <f>IF(C92&gt;0,E92/C92,"")</f>
        <v/>
      </c>
      <c r="G92" s="4">
        <f>IF(C92&gt;0,(D92-C92)/C92,"")</f>
        <v/>
      </c>
    </row>
    <row r="93">
      <c r="A93" s="3" t="inlineStr">
        <is>
          <t>MENA-PAK</t>
        </is>
      </c>
      <c r="B93" s="3" t="inlineStr">
        <is>
          <t>MP-ACC-026</t>
        </is>
      </c>
      <c r="C93" s="3" t="n">
        <v>212</v>
      </c>
      <c r="D93" s="3" t="n">
        <v>189</v>
      </c>
      <c r="E93" s="3" t="n">
        <v>47</v>
      </c>
      <c r="F93" s="4">
        <f>IF(C93&gt;0,E93/C93,"")</f>
        <v/>
      </c>
      <c r="G93" s="4">
        <f>IF(C93&gt;0,(D93-C93)/C93,"")</f>
        <v/>
      </c>
    </row>
    <row r="94">
      <c r="A94" s="3" t="inlineStr">
        <is>
          <t>MENA-PAK</t>
        </is>
      </c>
      <c r="B94" s="3" t="inlineStr">
        <is>
          <t>MP-ACC-030</t>
        </is>
      </c>
      <c r="C94" s="3" t="n">
        <v>1099</v>
      </c>
      <c r="D94" s="3" t="n">
        <v>1064</v>
      </c>
      <c r="E94" s="3" t="n">
        <v>293</v>
      </c>
      <c r="F94" s="4">
        <f>IF(C94&gt;0,E94/C94,"")</f>
        <v/>
      </c>
      <c r="G94" s="4">
        <f>IF(C94&gt;0,(D94-C94)/C94,"")</f>
        <v/>
      </c>
    </row>
    <row r="95">
      <c r="A95" s="3" t="inlineStr">
        <is>
          <t>MENA-PAK</t>
        </is>
      </c>
      <c r="B95" s="3" t="inlineStr">
        <is>
          <t>MP-ACC-034</t>
        </is>
      </c>
      <c r="C95" s="3" t="n">
        <v>268</v>
      </c>
      <c r="D95" s="3" t="n">
        <v>277</v>
      </c>
      <c r="E95" s="3" t="n">
        <v>65</v>
      </c>
      <c r="F95" s="4">
        <f>IF(C95&gt;0,E95/C95,"")</f>
        <v/>
      </c>
      <c r="G95" s="4">
        <f>IF(C95&gt;0,(D95-C95)/C95,"")</f>
        <v/>
      </c>
    </row>
    <row r="96">
      <c r="A96" s="3" t="inlineStr">
        <is>
          <t>MENA-PAK</t>
        </is>
      </c>
      <c r="B96" s="3" t="inlineStr">
        <is>
          <t>MP-DEV-001</t>
        </is>
      </c>
      <c r="C96" s="3" t="n">
        <v>530</v>
      </c>
      <c r="D96" s="3" t="n">
        <v>519</v>
      </c>
      <c r="E96" s="3" t="n">
        <v>87</v>
      </c>
      <c r="F96" s="4">
        <f>IF(C96&gt;0,E96/C96,"")</f>
        <v/>
      </c>
      <c r="G96" s="4">
        <f>IF(C96&gt;0,(D96-C96)/C96,"")</f>
        <v/>
      </c>
    </row>
    <row r="97">
      <c r="A97" s="3" t="inlineStr">
        <is>
          <t>MENA-PAK</t>
        </is>
      </c>
      <c r="B97" s="3" t="inlineStr">
        <is>
          <t>MP-DEV-005</t>
        </is>
      </c>
      <c r="C97" s="3" t="n">
        <v>965</v>
      </c>
      <c r="D97" s="3" t="n">
        <v>1107</v>
      </c>
      <c r="E97" s="3" t="n">
        <v>216</v>
      </c>
      <c r="F97" s="4">
        <f>IF(C97&gt;0,E97/C97,"")</f>
        <v/>
      </c>
      <c r="G97" s="4">
        <f>IF(C97&gt;0,(D97-C97)/C97,"")</f>
        <v/>
      </c>
    </row>
    <row r="98">
      <c r="A98" s="3" t="inlineStr">
        <is>
          <t>MENA-PAK</t>
        </is>
      </c>
      <c r="B98" s="3" t="inlineStr">
        <is>
          <t>MP-DEV-009</t>
        </is>
      </c>
      <c r="C98" s="3" t="n">
        <v>341</v>
      </c>
      <c r="D98" s="3" t="n">
        <v>376</v>
      </c>
      <c r="E98" s="3" t="n">
        <v>73</v>
      </c>
      <c r="F98" s="4">
        <f>IF(C98&gt;0,E98/C98,"")</f>
        <v/>
      </c>
      <c r="G98" s="4">
        <f>IF(C98&gt;0,(D98-C98)/C98,"")</f>
        <v/>
      </c>
    </row>
    <row r="99">
      <c r="A99" s="3" t="inlineStr">
        <is>
          <t>MENA-PAK</t>
        </is>
      </c>
      <c r="B99" s="3" t="inlineStr">
        <is>
          <t>MP-DEV-013</t>
        </is>
      </c>
      <c r="C99" s="3" t="n">
        <v>1612</v>
      </c>
      <c r="D99" s="3" t="n">
        <v>1706</v>
      </c>
      <c r="E99" s="3" t="n">
        <v>304</v>
      </c>
      <c r="F99" s="4">
        <f>IF(C99&gt;0,E99/C99,"")</f>
        <v/>
      </c>
      <c r="G99" s="4">
        <f>IF(C99&gt;0,(D99-C99)/C99,"")</f>
        <v/>
      </c>
    </row>
    <row r="100">
      <c r="A100" s="3" t="inlineStr">
        <is>
          <t>MENA-PAK</t>
        </is>
      </c>
      <c r="B100" s="3" t="inlineStr">
        <is>
          <t>MP-DEV-017</t>
        </is>
      </c>
      <c r="C100" s="3" t="n">
        <v>3776</v>
      </c>
      <c r="D100" s="3" t="n">
        <v>3025</v>
      </c>
      <c r="E100" s="3" t="n">
        <v>751</v>
      </c>
      <c r="F100" s="4">
        <f>IF(C100&gt;0,E100/C100,"")</f>
        <v/>
      </c>
      <c r="G100" s="4">
        <f>IF(C100&gt;0,(D100-C100)/C100,"")</f>
        <v/>
      </c>
    </row>
    <row r="101">
      <c r="A101" s="3" t="inlineStr">
        <is>
          <t>MENA-PAK</t>
        </is>
      </c>
      <c r="B101" s="3" t="inlineStr">
        <is>
          <t>MP-DEV-021</t>
        </is>
      </c>
      <c r="C101" s="3" t="n">
        <v>8232</v>
      </c>
      <c r="D101" s="3" t="n">
        <v>5283</v>
      </c>
      <c r="E101" s="3" t="n">
        <v>2997</v>
      </c>
      <c r="F101" s="4">
        <f>IF(C101&gt;0,E101/C101,"")</f>
        <v/>
      </c>
      <c r="G101" s="4">
        <f>IF(C101&gt;0,(D101-C101)/C101,"")</f>
        <v/>
      </c>
    </row>
    <row r="102">
      <c r="A102" s="3" t="inlineStr">
        <is>
          <t>MENA-PAK</t>
        </is>
      </c>
      <c r="B102" s="3" t="inlineStr">
        <is>
          <t>MP-DEV-025</t>
        </is>
      </c>
      <c r="C102" s="3" t="n">
        <v>788</v>
      </c>
      <c r="D102" s="3" t="n">
        <v>767</v>
      </c>
      <c r="E102" s="3" t="n">
        <v>203</v>
      </c>
      <c r="F102" s="4">
        <f>IF(C102&gt;0,E102/C102,"")</f>
        <v/>
      </c>
      <c r="G102" s="4">
        <f>IF(C102&gt;0,(D102-C102)/C102,"")</f>
        <v/>
      </c>
    </row>
    <row r="103">
      <c r="A103" s="3" t="inlineStr">
        <is>
          <t>MENA-PAK</t>
        </is>
      </c>
      <c r="B103" s="3" t="inlineStr">
        <is>
          <t>MP-DEV-029</t>
        </is>
      </c>
      <c r="C103" s="3" t="n">
        <v>1778</v>
      </c>
      <c r="D103" s="3" t="n">
        <v>1694</v>
      </c>
      <c r="E103" s="3" t="n">
        <v>254</v>
      </c>
      <c r="F103" s="4">
        <f>IF(C103&gt;0,E103/C103,"")</f>
        <v/>
      </c>
      <c r="G103" s="4">
        <f>IF(C103&gt;0,(D103-C103)/C103,"")</f>
        <v/>
      </c>
    </row>
    <row r="104">
      <c r="A104" s="3" t="inlineStr">
        <is>
          <t>MENA-PAK</t>
        </is>
      </c>
      <c r="B104" s="3" t="inlineStr">
        <is>
          <t>MP-DEV-033</t>
        </is>
      </c>
      <c r="C104" s="3" t="n">
        <v>242</v>
      </c>
      <c r="D104" s="3" t="n">
        <v>272</v>
      </c>
      <c r="E104" s="3" t="n">
        <v>66</v>
      </c>
      <c r="F104" s="4">
        <f>IF(C104&gt;0,E104/C104,"")</f>
        <v/>
      </c>
      <c r="G104" s="4">
        <f>IF(C104&gt;0,(D104-C104)/C104,"")</f>
        <v/>
      </c>
    </row>
    <row r="105">
      <c r="A105" s="3" t="inlineStr">
        <is>
          <t>MENA-PAK</t>
        </is>
      </c>
      <c r="B105" s="3" t="inlineStr">
        <is>
          <t>MP-NET-003</t>
        </is>
      </c>
      <c r="C105" s="3" t="n">
        <v>1771</v>
      </c>
      <c r="D105" s="3" t="n">
        <v>1660</v>
      </c>
      <c r="E105" s="3" t="n">
        <v>257</v>
      </c>
      <c r="F105" s="4">
        <f>IF(C105&gt;0,E105/C105,"")</f>
        <v/>
      </c>
      <c r="G105" s="4">
        <f>IF(C105&gt;0,(D105-C105)/C105,"")</f>
        <v/>
      </c>
    </row>
    <row r="106">
      <c r="A106" s="3" t="inlineStr">
        <is>
          <t>MENA-PAK</t>
        </is>
      </c>
      <c r="B106" s="3" t="inlineStr">
        <is>
          <t>MP-NET-007</t>
        </is>
      </c>
      <c r="C106" s="3" t="n">
        <v>289</v>
      </c>
      <c r="D106" s="3" t="n">
        <v>222</v>
      </c>
      <c r="E106" s="3" t="n">
        <v>87</v>
      </c>
      <c r="F106" s="4">
        <f>IF(C106&gt;0,E106/C106,"")</f>
        <v/>
      </c>
      <c r="G106" s="4">
        <f>IF(C106&gt;0,(D106-C106)/C106,"")</f>
        <v/>
      </c>
    </row>
    <row r="107">
      <c r="A107" s="3" t="inlineStr">
        <is>
          <t>MENA-PAK</t>
        </is>
      </c>
      <c r="B107" s="3" t="inlineStr">
        <is>
          <t>MP-NET-011</t>
        </is>
      </c>
      <c r="C107" s="3" t="n">
        <v>394</v>
      </c>
      <c r="D107" s="3" t="n">
        <v>435</v>
      </c>
      <c r="E107" s="3" t="n">
        <v>135</v>
      </c>
      <c r="F107" s="4">
        <f>IF(C107&gt;0,E107/C107,"")</f>
        <v/>
      </c>
      <c r="G107" s="4">
        <f>IF(C107&gt;0,(D107-C107)/C107,"")</f>
        <v/>
      </c>
    </row>
    <row r="108">
      <c r="A108" s="3" t="inlineStr">
        <is>
          <t>MENA-PAK</t>
        </is>
      </c>
      <c r="B108" s="3" t="inlineStr">
        <is>
          <t>MP-NET-015</t>
        </is>
      </c>
      <c r="C108" s="3" t="n">
        <v>565</v>
      </c>
      <c r="D108" s="3" t="n">
        <v>539</v>
      </c>
      <c r="E108" s="3" t="n">
        <v>130</v>
      </c>
      <c r="F108" s="4">
        <f>IF(C108&gt;0,E108/C108,"")</f>
        <v/>
      </c>
      <c r="G108" s="4">
        <f>IF(C108&gt;0,(D108-C108)/C108,"")</f>
        <v/>
      </c>
    </row>
    <row r="109">
      <c r="A109" s="3" t="inlineStr">
        <is>
          <t>MENA-PAK</t>
        </is>
      </c>
      <c r="B109" s="3" t="inlineStr">
        <is>
          <t>MP-NET-019</t>
        </is>
      </c>
      <c r="C109" s="3" t="n">
        <v>909</v>
      </c>
      <c r="D109" s="3" t="n">
        <v>971</v>
      </c>
      <c r="E109" s="3" t="n">
        <v>180</v>
      </c>
      <c r="F109" s="4">
        <f>IF(C109&gt;0,E109/C109,"")</f>
        <v/>
      </c>
      <c r="G109" s="4">
        <f>IF(C109&gt;0,(D109-C109)/C109,"")</f>
        <v/>
      </c>
    </row>
    <row r="110">
      <c r="A110" s="3" t="inlineStr">
        <is>
          <t>MENA-PAK</t>
        </is>
      </c>
      <c r="B110" s="3" t="inlineStr">
        <is>
          <t>MP-NET-023</t>
        </is>
      </c>
      <c r="C110" s="3" t="n">
        <v>1104</v>
      </c>
      <c r="D110" s="3" t="n">
        <v>1295</v>
      </c>
      <c r="E110" s="3" t="n">
        <v>425</v>
      </c>
      <c r="F110" s="4">
        <f>IF(C110&gt;0,E110/C110,"")</f>
        <v/>
      </c>
      <c r="G110" s="4">
        <f>IF(C110&gt;0,(D110-C110)/C110,"")</f>
        <v/>
      </c>
    </row>
    <row r="111">
      <c r="A111" s="3" t="inlineStr">
        <is>
          <t>MENA-PAK</t>
        </is>
      </c>
      <c r="B111" s="3" t="inlineStr">
        <is>
          <t>MP-NET-027</t>
        </is>
      </c>
      <c r="C111" s="3" t="n">
        <v>1016</v>
      </c>
      <c r="D111" s="3" t="n">
        <v>938</v>
      </c>
      <c r="E111" s="3" t="n">
        <v>336</v>
      </c>
      <c r="F111" s="4">
        <f>IF(C111&gt;0,E111/C111,"")</f>
        <v/>
      </c>
      <c r="G111" s="4">
        <f>IF(C111&gt;0,(D111-C111)/C111,"")</f>
        <v/>
      </c>
    </row>
    <row r="112">
      <c r="A112" s="3" t="inlineStr">
        <is>
          <t>MENA-PAK</t>
        </is>
      </c>
      <c r="B112" s="3" t="inlineStr">
        <is>
          <t>MP-NET-031</t>
        </is>
      </c>
      <c r="C112" s="3" t="n">
        <v>180</v>
      </c>
      <c r="D112" s="3" t="n">
        <v>185</v>
      </c>
      <c r="E112" s="3" t="n">
        <v>57</v>
      </c>
      <c r="F112" s="4">
        <f>IF(C112&gt;0,E112/C112,"")</f>
        <v/>
      </c>
      <c r="G112" s="4">
        <f>IF(C112&gt;0,(D112-C112)/C112,"")</f>
        <v/>
      </c>
    </row>
    <row r="113">
      <c r="A113" s="3" t="inlineStr">
        <is>
          <t>MENA-PAK</t>
        </is>
      </c>
      <c r="B113" s="3" t="inlineStr">
        <is>
          <t>MP-NET-035</t>
        </is>
      </c>
      <c r="C113" s="3" t="n">
        <v>989</v>
      </c>
      <c r="D113" s="3" t="n">
        <v>914</v>
      </c>
      <c r="E113" s="3" t="n">
        <v>393</v>
      </c>
      <c r="F113" s="4">
        <f>IF(C113&gt;0,E113/C113,"")</f>
        <v/>
      </c>
      <c r="G113" s="4">
        <f>IF(C113&gt;0,(D113-C113)/C113,"")</f>
        <v/>
      </c>
    </row>
    <row r="114">
      <c r="A114" s="3" t="inlineStr">
        <is>
          <t>MENA-PAK</t>
        </is>
      </c>
      <c r="B114" s="3" t="inlineStr">
        <is>
          <t>MP-STO-004</t>
        </is>
      </c>
      <c r="C114" s="3" t="n">
        <v>1010</v>
      </c>
      <c r="D114" s="3" t="n">
        <v>1105</v>
      </c>
      <c r="E114" s="3" t="n">
        <v>365</v>
      </c>
      <c r="F114" s="4">
        <f>IF(C114&gt;0,E114/C114,"")</f>
        <v/>
      </c>
      <c r="G114" s="4">
        <f>IF(C114&gt;0,(D114-C114)/C114,"")</f>
        <v/>
      </c>
    </row>
    <row r="115">
      <c r="A115" s="3" t="inlineStr">
        <is>
          <t>MENA-PAK</t>
        </is>
      </c>
      <c r="B115" s="3" t="inlineStr">
        <is>
          <t>MP-STO-008</t>
        </is>
      </c>
      <c r="C115" s="3" t="n">
        <v>3451</v>
      </c>
      <c r="D115" s="3" t="n">
        <v>3003</v>
      </c>
      <c r="E115" s="3" t="n">
        <v>676</v>
      </c>
      <c r="F115" s="4">
        <f>IF(C115&gt;0,E115/C115,"")</f>
        <v/>
      </c>
      <c r="G115" s="4">
        <f>IF(C115&gt;0,(D115-C115)/C115,"")</f>
        <v/>
      </c>
    </row>
    <row r="116">
      <c r="A116" s="3" t="inlineStr">
        <is>
          <t>MENA-PAK</t>
        </is>
      </c>
      <c r="B116" s="3" t="inlineStr">
        <is>
          <t>MP-STO-012</t>
        </is>
      </c>
      <c r="C116" s="3" t="n">
        <v>1340</v>
      </c>
      <c r="D116" s="3" t="n">
        <v>1239</v>
      </c>
      <c r="E116" s="3" t="n">
        <v>311</v>
      </c>
      <c r="F116" s="4">
        <f>IF(C116&gt;0,E116/C116,"")</f>
        <v/>
      </c>
      <c r="G116" s="4">
        <f>IF(C116&gt;0,(D116-C116)/C116,"")</f>
        <v/>
      </c>
    </row>
    <row r="117">
      <c r="A117" s="3" t="inlineStr">
        <is>
          <t>MENA-PAK</t>
        </is>
      </c>
      <c r="B117" s="3" t="inlineStr">
        <is>
          <t>MP-STO-016</t>
        </is>
      </c>
      <c r="C117" s="3" t="n">
        <v>2598</v>
      </c>
      <c r="D117" s="3" t="n">
        <v>2702</v>
      </c>
      <c r="E117" s="3" t="n">
        <v>494</v>
      </c>
      <c r="F117" s="4">
        <f>IF(C117&gt;0,E117/C117,"")</f>
        <v/>
      </c>
      <c r="G117" s="4">
        <f>IF(C117&gt;0,(D117-C117)/C117,"")</f>
        <v/>
      </c>
    </row>
    <row r="118">
      <c r="A118" s="3" t="inlineStr">
        <is>
          <t>MENA-PAK</t>
        </is>
      </c>
      <c r="B118" s="3" t="inlineStr">
        <is>
          <t>MP-STO-020</t>
        </is>
      </c>
      <c r="C118" s="3" t="n">
        <v>2853</v>
      </c>
      <c r="D118" s="3" t="n">
        <v>2586</v>
      </c>
      <c r="E118" s="3" t="n">
        <v>643</v>
      </c>
      <c r="F118" s="4">
        <f>IF(C118&gt;0,E118/C118,"")</f>
        <v/>
      </c>
      <c r="G118" s="4">
        <f>IF(C118&gt;0,(D118-C118)/C118,"")</f>
        <v/>
      </c>
    </row>
    <row r="119">
      <c r="A119" s="3" t="inlineStr">
        <is>
          <t>MENA-PAK</t>
        </is>
      </c>
      <c r="B119" s="3" t="inlineStr">
        <is>
          <t>MP-STO-024</t>
        </is>
      </c>
      <c r="C119" s="3" t="n">
        <v>370</v>
      </c>
      <c r="D119" s="3" t="n">
        <v>385</v>
      </c>
      <c r="E119" s="3" t="n">
        <v>75</v>
      </c>
      <c r="F119" s="4">
        <f>IF(C119&gt;0,E119/C119,"")</f>
        <v/>
      </c>
      <c r="G119" s="4">
        <f>IF(C119&gt;0,(D119-C119)/C119,"")</f>
        <v/>
      </c>
    </row>
    <row r="120">
      <c r="A120" s="3" t="inlineStr">
        <is>
          <t>MENA-PAK</t>
        </is>
      </c>
      <c r="B120" s="3" t="inlineStr">
        <is>
          <t>MP-STO-028</t>
        </is>
      </c>
      <c r="C120" s="3" t="n">
        <v>428</v>
      </c>
      <c r="D120" s="3" t="n">
        <v>476</v>
      </c>
      <c r="E120" s="3" t="n">
        <v>76</v>
      </c>
      <c r="F120" s="4">
        <f>IF(C120&gt;0,E120/C120,"")</f>
        <v/>
      </c>
      <c r="G120" s="4">
        <f>IF(C120&gt;0,(D120-C120)/C120,"")</f>
        <v/>
      </c>
    </row>
    <row r="121">
      <c r="A121" s="3" t="inlineStr">
        <is>
          <t>MENA-PAK</t>
        </is>
      </c>
      <c r="B121" s="3" t="inlineStr">
        <is>
          <t>MP-STO-032</t>
        </is>
      </c>
      <c r="C121" s="3" t="n">
        <v>1993</v>
      </c>
      <c r="D121" s="3" t="n">
        <v>1769</v>
      </c>
      <c r="E121" s="3" t="n">
        <v>312</v>
      </c>
      <c r="F121" s="4">
        <f>IF(C121&gt;0,E121/C121,"")</f>
        <v/>
      </c>
      <c r="G121" s="4">
        <f>IF(C121&gt;0,(D121-C121)/C121,"")</f>
        <v/>
      </c>
    </row>
    <row r="122">
      <c r="A122" s="3" t="inlineStr">
        <is>
          <t>South Africa</t>
        </is>
      </c>
      <c r="B122" s="3" t="inlineStr">
        <is>
          <t>ZA-ACC-002</t>
        </is>
      </c>
      <c r="C122" s="3" t="n">
        <v>910</v>
      </c>
      <c r="D122" s="3" t="n">
        <v>936</v>
      </c>
      <c r="E122" s="3" t="n">
        <v>186</v>
      </c>
      <c r="F122" s="4">
        <f>IF(C122&gt;0,E122/C122,"")</f>
        <v/>
      </c>
      <c r="G122" s="4">
        <f>IF(C122&gt;0,(D122-C122)/C122,"")</f>
        <v/>
      </c>
    </row>
    <row r="123">
      <c r="A123" s="3" t="inlineStr">
        <is>
          <t>South Africa</t>
        </is>
      </c>
      <c r="B123" s="3" t="inlineStr">
        <is>
          <t>ZA-ACC-006</t>
        </is>
      </c>
      <c r="C123" s="3" t="n">
        <v>403</v>
      </c>
      <c r="D123" s="3" t="n">
        <v>421</v>
      </c>
      <c r="E123" s="3" t="n">
        <v>82</v>
      </c>
      <c r="F123" s="4">
        <f>IF(C123&gt;0,E123/C123,"")</f>
        <v/>
      </c>
      <c r="G123" s="4">
        <f>IF(C123&gt;0,(D123-C123)/C123,"")</f>
        <v/>
      </c>
    </row>
    <row r="124">
      <c r="A124" s="3" t="inlineStr">
        <is>
          <t>South Africa</t>
        </is>
      </c>
      <c r="B124" s="3" t="inlineStr">
        <is>
          <t>ZA-ACC-010</t>
        </is>
      </c>
      <c r="C124" s="3" t="n">
        <v>673</v>
      </c>
      <c r="D124" s="3" t="n">
        <v>542</v>
      </c>
      <c r="E124" s="3" t="n">
        <v>215</v>
      </c>
      <c r="F124" s="4">
        <f>IF(C124&gt;0,E124/C124,"")</f>
        <v/>
      </c>
      <c r="G124" s="4">
        <f>IF(C124&gt;0,(D124-C124)/C124,"")</f>
        <v/>
      </c>
    </row>
    <row r="125">
      <c r="A125" s="3" t="inlineStr">
        <is>
          <t>South Africa</t>
        </is>
      </c>
      <c r="B125" s="3" t="inlineStr">
        <is>
          <t>ZA-ACC-014</t>
        </is>
      </c>
      <c r="C125" s="3" t="n">
        <v>694</v>
      </c>
      <c r="D125" s="3" t="n">
        <v>656</v>
      </c>
      <c r="E125" s="3" t="n">
        <v>126</v>
      </c>
      <c r="F125" s="4">
        <f>IF(C125&gt;0,E125/C125,"")</f>
        <v/>
      </c>
      <c r="G125" s="4">
        <f>IF(C125&gt;0,(D125-C125)/C125,"")</f>
        <v/>
      </c>
    </row>
    <row r="126">
      <c r="A126" s="3" t="inlineStr">
        <is>
          <t>South Africa</t>
        </is>
      </c>
      <c r="B126" s="3" t="inlineStr">
        <is>
          <t>ZA-ACC-018</t>
        </is>
      </c>
      <c r="C126" s="3" t="n">
        <v>1351</v>
      </c>
      <c r="D126" s="3" t="n">
        <v>1261</v>
      </c>
      <c r="E126" s="3" t="n">
        <v>224</v>
      </c>
      <c r="F126" s="4">
        <f>IF(C126&gt;0,E126/C126,"")</f>
        <v/>
      </c>
      <c r="G126" s="4">
        <f>IF(C126&gt;0,(D126-C126)/C126,"")</f>
        <v/>
      </c>
    </row>
    <row r="127">
      <c r="A127" s="3" t="inlineStr">
        <is>
          <t>South Africa</t>
        </is>
      </c>
      <c r="B127" s="3" t="inlineStr">
        <is>
          <t>ZA-ACC-022</t>
        </is>
      </c>
      <c r="C127" s="3" t="n">
        <v>662</v>
      </c>
      <c r="D127" s="3" t="n">
        <v>659</v>
      </c>
      <c r="E127" s="3" t="n">
        <v>83</v>
      </c>
      <c r="F127" s="4">
        <f>IF(C127&gt;0,E127/C127,"")</f>
        <v/>
      </c>
      <c r="G127" s="4">
        <f>IF(C127&gt;0,(D127-C127)/C127,"")</f>
        <v/>
      </c>
    </row>
    <row r="128">
      <c r="A128" s="3" t="inlineStr">
        <is>
          <t>South Africa</t>
        </is>
      </c>
      <c r="B128" s="3" t="inlineStr">
        <is>
          <t>ZA-ACC-026</t>
        </is>
      </c>
      <c r="C128" s="3" t="n">
        <v>834</v>
      </c>
      <c r="D128" s="3" t="n">
        <v>889</v>
      </c>
      <c r="E128" s="3" t="n">
        <v>311</v>
      </c>
      <c r="F128" s="4">
        <f>IF(C128&gt;0,E128/C128,"")</f>
        <v/>
      </c>
      <c r="G128" s="4">
        <f>IF(C128&gt;0,(D128-C128)/C128,"")</f>
        <v/>
      </c>
    </row>
    <row r="129">
      <c r="A129" s="3" t="inlineStr">
        <is>
          <t>South Africa</t>
        </is>
      </c>
      <c r="B129" s="3" t="inlineStr">
        <is>
          <t>ZA-ACC-030</t>
        </is>
      </c>
      <c r="C129" s="3" t="n">
        <v>803</v>
      </c>
      <c r="D129" s="3" t="n">
        <v>837</v>
      </c>
      <c r="E129" s="3" t="n">
        <v>230</v>
      </c>
      <c r="F129" s="4">
        <f>IF(C129&gt;0,E129/C129,"")</f>
        <v/>
      </c>
      <c r="G129" s="4">
        <f>IF(C129&gt;0,(D129-C129)/C129,"")</f>
        <v/>
      </c>
    </row>
    <row r="130">
      <c r="A130" s="3" t="inlineStr">
        <is>
          <t>South Africa</t>
        </is>
      </c>
      <c r="B130" s="3" t="inlineStr">
        <is>
          <t>ZA-DEV-001</t>
        </is>
      </c>
      <c r="C130" s="3" t="n">
        <v>286</v>
      </c>
      <c r="D130" s="3" t="n">
        <v>204</v>
      </c>
      <c r="E130" s="3" t="n">
        <v>88</v>
      </c>
      <c r="F130" s="4">
        <f>IF(C130&gt;0,E130/C130,"")</f>
        <v/>
      </c>
      <c r="G130" s="4">
        <f>IF(C130&gt;0,(D130-C130)/C130,"")</f>
        <v/>
      </c>
    </row>
    <row r="131">
      <c r="A131" s="3" t="inlineStr">
        <is>
          <t>South Africa</t>
        </is>
      </c>
      <c r="B131" s="3" t="inlineStr">
        <is>
          <t>ZA-DEV-005</t>
        </is>
      </c>
      <c r="C131" s="3" t="n">
        <v>970</v>
      </c>
      <c r="D131" s="3" t="n">
        <v>921</v>
      </c>
      <c r="E131" s="3" t="n">
        <v>151</v>
      </c>
      <c r="F131" s="4">
        <f>IF(C131&gt;0,E131/C131,"")</f>
        <v/>
      </c>
      <c r="G131" s="4">
        <f>IF(C131&gt;0,(D131-C131)/C131,"")</f>
        <v/>
      </c>
    </row>
    <row r="132">
      <c r="A132" s="3" t="inlineStr">
        <is>
          <t>South Africa</t>
        </is>
      </c>
      <c r="B132" s="3" t="inlineStr">
        <is>
          <t>ZA-DEV-009</t>
        </is>
      </c>
      <c r="C132" s="3" t="n">
        <v>915</v>
      </c>
      <c r="D132" s="3" t="n">
        <v>945</v>
      </c>
      <c r="E132" s="3" t="n">
        <v>110</v>
      </c>
      <c r="F132" s="4">
        <f>IF(C132&gt;0,E132/C132,"")</f>
        <v/>
      </c>
      <c r="G132" s="4">
        <f>IF(C132&gt;0,(D132-C132)/C132,"")</f>
        <v/>
      </c>
    </row>
    <row r="133">
      <c r="A133" s="3" t="inlineStr">
        <is>
          <t>South Africa</t>
        </is>
      </c>
      <c r="B133" s="3" t="inlineStr">
        <is>
          <t>ZA-DEV-013</t>
        </is>
      </c>
      <c r="C133" s="3" t="n">
        <v>530</v>
      </c>
      <c r="D133" s="3" t="n">
        <v>473</v>
      </c>
      <c r="E133" s="3" t="n">
        <v>87</v>
      </c>
      <c r="F133" s="4">
        <f>IF(C133&gt;0,E133/C133,"")</f>
        <v/>
      </c>
      <c r="G133" s="4">
        <f>IF(C133&gt;0,(D133-C133)/C133,"")</f>
        <v/>
      </c>
    </row>
    <row r="134">
      <c r="A134" s="3" t="inlineStr">
        <is>
          <t>South Africa</t>
        </is>
      </c>
      <c r="B134" s="3" t="inlineStr">
        <is>
          <t>ZA-DEV-017</t>
        </is>
      </c>
      <c r="C134" s="3" t="n">
        <v>2110</v>
      </c>
      <c r="D134" s="3" t="n">
        <v>2590</v>
      </c>
      <c r="E134" s="3" t="n">
        <v>528</v>
      </c>
      <c r="F134" s="4">
        <f>IF(C134&gt;0,E134/C134,"")</f>
        <v/>
      </c>
      <c r="G134" s="4">
        <f>IF(C134&gt;0,(D134-C134)/C134,"")</f>
        <v/>
      </c>
    </row>
    <row r="135">
      <c r="A135" s="3" t="inlineStr">
        <is>
          <t>South Africa</t>
        </is>
      </c>
      <c r="B135" s="3" t="inlineStr">
        <is>
          <t>ZA-DEV-021</t>
        </is>
      </c>
      <c r="C135" s="3" t="n">
        <v>747</v>
      </c>
      <c r="D135" s="3" t="n">
        <v>870</v>
      </c>
      <c r="E135" s="3" t="n">
        <v>191</v>
      </c>
      <c r="F135" s="4">
        <f>IF(C135&gt;0,E135/C135,"")</f>
        <v/>
      </c>
      <c r="G135" s="4">
        <f>IF(C135&gt;0,(D135-C135)/C135,"")</f>
        <v/>
      </c>
    </row>
    <row r="136">
      <c r="A136" s="3" t="inlineStr">
        <is>
          <t>South Africa</t>
        </is>
      </c>
      <c r="B136" s="3" t="inlineStr">
        <is>
          <t>ZA-DEV-025</t>
        </is>
      </c>
      <c r="C136" s="3" t="n">
        <v>1789</v>
      </c>
      <c r="D136" s="3" t="n">
        <v>1676</v>
      </c>
      <c r="E136" s="3" t="n">
        <v>413</v>
      </c>
      <c r="F136" s="4">
        <f>IF(C136&gt;0,E136/C136,"")</f>
        <v/>
      </c>
      <c r="G136" s="4">
        <f>IF(C136&gt;0,(D136-C136)/C136,"")</f>
        <v/>
      </c>
    </row>
    <row r="137">
      <c r="A137" s="3" t="inlineStr">
        <is>
          <t>South Africa</t>
        </is>
      </c>
      <c r="B137" s="3" t="inlineStr">
        <is>
          <t>ZA-DEV-029</t>
        </is>
      </c>
      <c r="C137" s="3" t="n">
        <v>507</v>
      </c>
      <c r="D137" s="3" t="n">
        <v>511</v>
      </c>
      <c r="E137" s="3" t="n">
        <v>72</v>
      </c>
      <c r="F137" s="4">
        <f>IF(C137&gt;0,E137/C137,"")</f>
        <v/>
      </c>
      <c r="G137" s="4">
        <f>IF(C137&gt;0,(D137-C137)/C137,"")</f>
        <v/>
      </c>
    </row>
    <row r="138">
      <c r="A138" s="3" t="inlineStr">
        <is>
          <t>South Africa</t>
        </is>
      </c>
      <c r="B138" s="3" t="inlineStr">
        <is>
          <t>ZA-NET-003</t>
        </is>
      </c>
      <c r="C138" s="3" t="n">
        <v>645</v>
      </c>
      <c r="D138" s="3" t="n">
        <v>957</v>
      </c>
      <c r="E138" s="3" t="n">
        <v>318</v>
      </c>
      <c r="F138" s="4">
        <f>IF(C138&gt;0,E138/C138,"")</f>
        <v/>
      </c>
      <c r="G138" s="4">
        <f>IF(C138&gt;0,(D138-C138)/C138,"")</f>
        <v/>
      </c>
    </row>
    <row r="139">
      <c r="A139" s="3" t="inlineStr">
        <is>
          <t>South Africa</t>
        </is>
      </c>
      <c r="B139" s="3" t="inlineStr">
        <is>
          <t>ZA-NET-007</t>
        </is>
      </c>
      <c r="C139" s="3" t="n">
        <v>992</v>
      </c>
      <c r="D139" s="3" t="n">
        <v>833</v>
      </c>
      <c r="E139" s="3" t="n">
        <v>227</v>
      </c>
      <c r="F139" s="4">
        <f>IF(C139&gt;0,E139/C139,"")</f>
        <v/>
      </c>
      <c r="G139" s="4">
        <f>IF(C139&gt;0,(D139-C139)/C139,"")</f>
        <v/>
      </c>
    </row>
    <row r="140">
      <c r="A140" s="3" t="inlineStr">
        <is>
          <t>South Africa</t>
        </is>
      </c>
      <c r="B140" s="3" t="inlineStr">
        <is>
          <t>ZA-NET-011</t>
        </is>
      </c>
      <c r="C140" s="3" t="n">
        <v>488</v>
      </c>
      <c r="D140" s="3" t="n">
        <v>516</v>
      </c>
      <c r="E140" s="3" t="n">
        <v>100</v>
      </c>
      <c r="F140" s="4">
        <f>IF(C140&gt;0,E140/C140,"")</f>
        <v/>
      </c>
      <c r="G140" s="4">
        <f>IF(C140&gt;0,(D140-C140)/C140,"")</f>
        <v/>
      </c>
    </row>
    <row r="141">
      <c r="A141" s="3" t="inlineStr">
        <is>
          <t>South Africa</t>
        </is>
      </c>
      <c r="B141" s="3" t="inlineStr">
        <is>
          <t>ZA-NET-015</t>
        </is>
      </c>
      <c r="C141" s="3" t="n">
        <v>2353</v>
      </c>
      <c r="D141" s="3" t="n">
        <v>2161</v>
      </c>
      <c r="E141" s="3" t="n">
        <v>350</v>
      </c>
      <c r="F141" s="4">
        <f>IF(C141&gt;0,E141/C141,"")</f>
        <v/>
      </c>
      <c r="G141" s="4">
        <f>IF(C141&gt;0,(D141-C141)/C141,"")</f>
        <v/>
      </c>
    </row>
    <row r="142">
      <c r="A142" s="3" t="inlineStr">
        <is>
          <t>South Africa</t>
        </is>
      </c>
      <c r="B142" s="3" t="inlineStr">
        <is>
          <t>ZA-NET-019</t>
        </is>
      </c>
      <c r="C142" s="3" t="n">
        <v>1752</v>
      </c>
      <c r="D142" s="3" t="n">
        <v>1754</v>
      </c>
      <c r="E142" s="3" t="n">
        <v>282</v>
      </c>
      <c r="F142" s="4">
        <f>IF(C142&gt;0,E142/C142,"")</f>
        <v/>
      </c>
      <c r="G142" s="4">
        <f>IF(C142&gt;0,(D142-C142)/C142,"")</f>
        <v/>
      </c>
    </row>
    <row r="143">
      <c r="A143" s="3" t="inlineStr">
        <is>
          <t>South Africa</t>
        </is>
      </c>
      <c r="B143" s="3" t="inlineStr">
        <is>
          <t>ZA-NET-023</t>
        </is>
      </c>
      <c r="C143" s="3" t="n">
        <v>1309</v>
      </c>
      <c r="D143" s="3" t="n">
        <v>1419</v>
      </c>
      <c r="E143" s="3" t="n">
        <v>280</v>
      </c>
      <c r="F143" s="4">
        <f>IF(C143&gt;0,E143/C143,"")</f>
        <v/>
      </c>
      <c r="G143" s="4">
        <f>IF(C143&gt;0,(D143-C143)/C143,"")</f>
        <v/>
      </c>
    </row>
    <row r="144">
      <c r="A144" s="3" t="inlineStr">
        <is>
          <t>South Africa</t>
        </is>
      </c>
      <c r="B144" s="3" t="inlineStr">
        <is>
          <t>ZA-NET-027</t>
        </is>
      </c>
      <c r="C144" s="3" t="n">
        <v>642</v>
      </c>
      <c r="D144" s="3" t="n">
        <v>727</v>
      </c>
      <c r="E144" s="3" t="n">
        <v>203</v>
      </c>
      <c r="F144" s="4">
        <f>IF(C144&gt;0,E144/C144,"")</f>
        <v/>
      </c>
      <c r="G144" s="4">
        <f>IF(C144&gt;0,(D144-C144)/C144,"")</f>
        <v/>
      </c>
    </row>
    <row r="145">
      <c r="A145" s="3" t="inlineStr">
        <is>
          <t>South Africa</t>
        </is>
      </c>
      <c r="B145" s="3" t="inlineStr">
        <is>
          <t>ZA-STO-004</t>
        </is>
      </c>
      <c r="C145" s="3" t="n">
        <v>299</v>
      </c>
      <c r="D145" s="3" t="n">
        <v>287</v>
      </c>
      <c r="E145" s="3" t="n">
        <v>42</v>
      </c>
      <c r="F145" s="4">
        <f>IF(C145&gt;0,E145/C145,"")</f>
        <v/>
      </c>
      <c r="G145" s="4">
        <f>IF(C145&gt;0,(D145-C145)/C145,"")</f>
        <v/>
      </c>
    </row>
    <row r="146">
      <c r="A146" s="3" t="inlineStr">
        <is>
          <t>South Africa</t>
        </is>
      </c>
      <c r="B146" s="3" t="inlineStr">
        <is>
          <t>ZA-STO-008</t>
        </is>
      </c>
      <c r="C146" s="3" t="n">
        <v>721</v>
      </c>
      <c r="D146" s="3" t="n">
        <v>523</v>
      </c>
      <c r="E146" s="3" t="n">
        <v>198</v>
      </c>
      <c r="F146" s="4">
        <f>IF(C146&gt;0,E146/C146,"")</f>
        <v/>
      </c>
      <c r="G146" s="4">
        <f>IF(C146&gt;0,(D146-C146)/C146,"")</f>
        <v/>
      </c>
    </row>
    <row r="147">
      <c r="A147" s="3" t="inlineStr">
        <is>
          <t>South Africa</t>
        </is>
      </c>
      <c r="B147" s="3" t="inlineStr">
        <is>
          <t>ZA-STO-012</t>
        </is>
      </c>
      <c r="C147" s="3" t="n">
        <v>723</v>
      </c>
      <c r="D147" s="3" t="n">
        <v>665</v>
      </c>
      <c r="E147" s="3" t="n">
        <v>144</v>
      </c>
      <c r="F147" s="4">
        <f>IF(C147&gt;0,E147/C147,"")</f>
        <v/>
      </c>
      <c r="G147" s="4">
        <f>IF(C147&gt;0,(D147-C147)/C147,"")</f>
        <v/>
      </c>
    </row>
    <row r="148">
      <c r="A148" s="3" t="inlineStr">
        <is>
          <t>South Africa</t>
        </is>
      </c>
      <c r="B148" s="3" t="inlineStr">
        <is>
          <t>ZA-STO-016</t>
        </is>
      </c>
      <c r="C148" s="3" t="n">
        <v>1062</v>
      </c>
      <c r="D148" s="3" t="n">
        <v>1101</v>
      </c>
      <c r="E148" s="3" t="n">
        <v>213</v>
      </c>
      <c r="F148" s="4">
        <f>IF(C148&gt;0,E148/C148,"")</f>
        <v/>
      </c>
      <c r="G148" s="4">
        <f>IF(C148&gt;0,(D148-C148)/C148,"")</f>
        <v/>
      </c>
    </row>
    <row r="149">
      <c r="A149" s="3" t="inlineStr">
        <is>
          <t>South Africa</t>
        </is>
      </c>
      <c r="B149" s="3" t="inlineStr">
        <is>
          <t>ZA-STO-020</t>
        </is>
      </c>
      <c r="C149" s="3" t="n">
        <v>711</v>
      </c>
      <c r="D149" s="3" t="n">
        <v>630</v>
      </c>
      <c r="E149" s="3" t="n">
        <v>119</v>
      </c>
      <c r="F149" s="4">
        <f>IF(C149&gt;0,E149/C149,"")</f>
        <v/>
      </c>
      <c r="G149" s="4">
        <f>IF(C149&gt;0,(D149-C149)/C149,"")</f>
        <v/>
      </c>
    </row>
    <row r="150">
      <c r="A150" s="3" t="inlineStr">
        <is>
          <t>South Africa</t>
        </is>
      </c>
      <c r="B150" s="3" t="inlineStr">
        <is>
          <t>ZA-STO-024</t>
        </is>
      </c>
      <c r="C150" s="3" t="n">
        <v>558</v>
      </c>
      <c r="D150" s="3" t="n">
        <v>535</v>
      </c>
      <c r="E150" s="3" t="n">
        <v>113</v>
      </c>
      <c r="F150" s="4">
        <f>IF(C150&gt;0,E150/C150,"")</f>
        <v/>
      </c>
      <c r="G150" s="4">
        <f>IF(C150&gt;0,(D150-C150)/C150,"")</f>
        <v/>
      </c>
    </row>
    <row r="151">
      <c r="A151" s="3" t="inlineStr">
        <is>
          <t>South Africa</t>
        </is>
      </c>
      <c r="B151" s="3" t="inlineStr">
        <is>
          <t>ZA-STO-028</t>
        </is>
      </c>
      <c r="C151" s="3" t="n">
        <v>355</v>
      </c>
      <c r="D151" s="3" t="n">
        <v>326</v>
      </c>
      <c r="E151" s="3" t="n">
        <v>47</v>
      </c>
      <c r="F151" s="4">
        <f>IF(C151&gt;0,E151/C151,"")</f>
        <v/>
      </c>
      <c r="G151" s="4">
        <f>IF(C151&gt;0,(D151-C151)/C151,"")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0" customWidth="1" min="9" max="9"/>
  </cols>
  <sheetData>
    <row r="1">
      <c r="A1" s="2" t="inlineStr">
        <is>
          <t>market</t>
        </is>
      </c>
      <c r="B1" s="2" t="inlineStr">
        <is>
          <t>supplier</t>
        </is>
      </c>
      <c r="C1" s="2" t="inlineStr">
        <is>
          <t>pos</t>
        </is>
      </c>
      <c r="D1" s="2" t="inlineStr">
        <is>
          <t>on_time</t>
        </is>
      </c>
      <c r="E1" s="2" t="inlineStr">
        <is>
          <t>in_full</t>
        </is>
      </c>
      <c r="F1" s="2" t="inlineStr">
        <is>
          <t>otif_pos</t>
        </is>
      </c>
      <c r="G1" s="2" t="inlineStr">
        <is>
          <t>on_time_pct</t>
        </is>
      </c>
      <c r="H1" s="2" t="inlineStr">
        <is>
          <t>in_full_pct</t>
        </is>
      </c>
      <c r="I1" s="2" t="inlineStr">
        <is>
          <t>otif_pct</t>
        </is>
      </c>
    </row>
    <row r="2">
      <c r="A2" s="3" t="inlineStr">
        <is>
          <t>APAC</t>
        </is>
      </c>
      <c r="B2" s="3" t="inlineStr">
        <is>
          <t>SUP-AP-01</t>
        </is>
      </c>
      <c r="C2" s="3" t="n">
        <v>32</v>
      </c>
      <c r="D2" s="3" t="n">
        <v>27</v>
      </c>
      <c r="E2" s="3" t="n">
        <v>28</v>
      </c>
      <c r="F2" s="3" t="n">
        <v>24</v>
      </c>
      <c r="G2" s="4">
        <f>D2/C2</f>
        <v/>
      </c>
      <c r="H2" s="4">
        <f>E2/C2</f>
        <v/>
      </c>
      <c r="I2" s="4">
        <f>F2/C2</f>
        <v/>
      </c>
    </row>
    <row r="3">
      <c r="A3" s="3" t="inlineStr">
        <is>
          <t>APAC</t>
        </is>
      </c>
      <c r="B3" s="3" t="inlineStr">
        <is>
          <t>SUP-AP-02</t>
        </is>
      </c>
      <c r="C3" s="3" t="n">
        <v>39</v>
      </c>
      <c r="D3" s="3" t="n">
        <v>35</v>
      </c>
      <c r="E3" s="3" t="n">
        <v>36</v>
      </c>
      <c r="F3" s="3" t="n">
        <v>32</v>
      </c>
      <c r="G3" s="4">
        <f>D3/C3</f>
        <v/>
      </c>
      <c r="H3" s="4">
        <f>E3/C3</f>
        <v/>
      </c>
      <c r="I3" s="4">
        <f>F3/C3</f>
        <v/>
      </c>
    </row>
    <row r="4">
      <c r="A4" s="3" t="inlineStr">
        <is>
          <t>APAC</t>
        </is>
      </c>
      <c r="B4" s="3" t="inlineStr">
        <is>
          <t>SUP-AP-03</t>
        </is>
      </c>
      <c r="C4" s="3" t="n">
        <v>23</v>
      </c>
      <c r="D4" s="3" t="n">
        <v>15</v>
      </c>
      <c r="E4" s="3" t="n">
        <v>21</v>
      </c>
      <c r="F4" s="3" t="n">
        <v>15</v>
      </c>
      <c r="G4" s="4">
        <f>D4/C4</f>
        <v/>
      </c>
      <c r="H4" s="4">
        <f>E4/C4</f>
        <v/>
      </c>
      <c r="I4" s="4">
        <f>F4/C4</f>
        <v/>
      </c>
    </row>
    <row r="5">
      <c r="A5" s="3" t="inlineStr">
        <is>
          <t>APAC</t>
        </is>
      </c>
      <c r="B5" s="3" t="inlineStr">
        <is>
          <t>SUP-AP-04</t>
        </is>
      </c>
      <c r="C5" s="3" t="n">
        <v>34</v>
      </c>
      <c r="D5" s="3" t="n">
        <v>30</v>
      </c>
      <c r="E5" s="3" t="n">
        <v>31</v>
      </c>
      <c r="F5" s="3" t="n">
        <v>29</v>
      </c>
      <c r="G5" s="4">
        <f>D5/C5</f>
        <v/>
      </c>
      <c r="H5" s="4">
        <f>E5/C5</f>
        <v/>
      </c>
      <c r="I5" s="4">
        <f>F5/C5</f>
        <v/>
      </c>
    </row>
    <row r="6">
      <c r="A6" s="3" t="inlineStr">
        <is>
          <t>APAC</t>
        </is>
      </c>
      <c r="B6" s="3" t="inlineStr">
        <is>
          <t>SUP-AP-05</t>
        </is>
      </c>
      <c r="C6" s="3" t="n">
        <v>33</v>
      </c>
      <c r="D6" s="3" t="n">
        <v>24</v>
      </c>
      <c r="E6" s="3" t="n">
        <v>31</v>
      </c>
      <c r="F6" s="3" t="n">
        <v>23</v>
      </c>
      <c r="G6" s="4">
        <f>D6/C6</f>
        <v/>
      </c>
      <c r="H6" s="4">
        <f>E6/C6</f>
        <v/>
      </c>
      <c r="I6" s="4">
        <f>F6/C6</f>
        <v/>
      </c>
    </row>
    <row r="7">
      <c r="A7" s="3" t="inlineStr">
        <is>
          <t>APAC</t>
        </is>
      </c>
      <c r="B7" s="3" t="inlineStr">
        <is>
          <t>SUP-AP-06</t>
        </is>
      </c>
      <c r="C7" s="3" t="n">
        <v>42</v>
      </c>
      <c r="D7" s="3" t="n">
        <v>37</v>
      </c>
      <c r="E7" s="3" t="n">
        <v>39</v>
      </c>
      <c r="F7" s="3" t="n">
        <v>34</v>
      </c>
      <c r="G7" s="4">
        <f>D7/C7</f>
        <v/>
      </c>
      <c r="H7" s="4">
        <f>E7/C7</f>
        <v/>
      </c>
      <c r="I7" s="4">
        <f>F7/C7</f>
        <v/>
      </c>
    </row>
    <row r="8">
      <c r="A8" s="3" t="inlineStr">
        <is>
          <t>India</t>
        </is>
      </c>
      <c r="B8" s="3" t="inlineStr">
        <is>
          <t>SUP-IN-01</t>
        </is>
      </c>
      <c r="C8" s="3" t="n">
        <v>33</v>
      </c>
      <c r="D8" s="3" t="n">
        <v>25</v>
      </c>
      <c r="E8" s="3" t="n">
        <v>28</v>
      </c>
      <c r="F8" s="3" t="n">
        <v>20</v>
      </c>
      <c r="G8" s="4">
        <f>D8/C8</f>
        <v/>
      </c>
      <c r="H8" s="4">
        <f>E8/C8</f>
        <v/>
      </c>
      <c r="I8" s="4">
        <f>F8/C8</f>
        <v/>
      </c>
    </row>
    <row r="9">
      <c r="A9" s="3" t="inlineStr">
        <is>
          <t>India</t>
        </is>
      </c>
      <c r="B9" s="3" t="inlineStr">
        <is>
          <t>SUP-IN-02</t>
        </is>
      </c>
      <c r="C9" s="3" t="n">
        <v>37</v>
      </c>
      <c r="D9" s="3" t="n">
        <v>27</v>
      </c>
      <c r="E9" s="3" t="n">
        <v>34</v>
      </c>
      <c r="F9" s="3" t="n">
        <v>24</v>
      </c>
      <c r="G9" s="4">
        <f>D9/C9</f>
        <v/>
      </c>
      <c r="H9" s="4">
        <f>E9/C9</f>
        <v/>
      </c>
      <c r="I9" s="4">
        <f>F9/C9</f>
        <v/>
      </c>
    </row>
    <row r="10">
      <c r="A10" s="3" t="inlineStr">
        <is>
          <t>India</t>
        </is>
      </c>
      <c r="B10" s="3" t="inlineStr">
        <is>
          <t>SUP-IN-03</t>
        </is>
      </c>
      <c r="C10" s="3" t="n">
        <v>39</v>
      </c>
      <c r="D10" s="3" t="n">
        <v>25</v>
      </c>
      <c r="E10" s="3" t="n">
        <v>33</v>
      </c>
      <c r="F10" s="3" t="n">
        <v>22</v>
      </c>
      <c r="G10" s="4">
        <f>D10/C10</f>
        <v/>
      </c>
      <c r="H10" s="4">
        <f>E10/C10</f>
        <v/>
      </c>
      <c r="I10" s="4">
        <f>F10/C10</f>
        <v/>
      </c>
    </row>
    <row r="11">
      <c r="A11" s="3" t="inlineStr">
        <is>
          <t>India</t>
        </is>
      </c>
      <c r="B11" s="3" t="inlineStr">
        <is>
          <t>SUP-IN-04</t>
        </is>
      </c>
      <c r="C11" s="3" t="n">
        <v>28</v>
      </c>
      <c r="D11" s="3" t="n">
        <v>22</v>
      </c>
      <c r="E11" s="3" t="n">
        <v>25</v>
      </c>
      <c r="F11" s="3" t="n">
        <v>20</v>
      </c>
      <c r="G11" s="4">
        <f>D11/C11</f>
        <v/>
      </c>
      <c r="H11" s="4">
        <f>E11/C11</f>
        <v/>
      </c>
      <c r="I11" s="4">
        <f>F11/C11</f>
        <v/>
      </c>
    </row>
    <row r="12">
      <c r="A12" s="3" t="inlineStr">
        <is>
          <t>India</t>
        </is>
      </c>
      <c r="B12" s="3" t="inlineStr">
        <is>
          <t>SUP-IN-05</t>
        </is>
      </c>
      <c r="C12" s="3" t="n">
        <v>41</v>
      </c>
      <c r="D12" s="3" t="n">
        <v>28</v>
      </c>
      <c r="E12" s="3" t="n">
        <v>33</v>
      </c>
      <c r="F12" s="3" t="n">
        <v>23</v>
      </c>
      <c r="G12" s="4">
        <f>D12/C12</f>
        <v/>
      </c>
      <c r="H12" s="4">
        <f>E12/C12</f>
        <v/>
      </c>
      <c r="I12" s="4">
        <f>F12/C12</f>
        <v/>
      </c>
    </row>
    <row r="13">
      <c r="A13" s="3" t="inlineStr">
        <is>
          <t>MENA-PAK</t>
        </is>
      </c>
      <c r="B13" s="3" t="inlineStr">
        <is>
          <t>SUP-MP-01</t>
        </is>
      </c>
      <c r="C13" s="3" t="n">
        <v>36</v>
      </c>
      <c r="D13" s="3" t="n">
        <v>35</v>
      </c>
      <c r="E13" s="3" t="n">
        <v>35</v>
      </c>
      <c r="F13" s="3" t="n">
        <v>34</v>
      </c>
      <c r="G13" s="4">
        <f>D13/C13</f>
        <v/>
      </c>
      <c r="H13" s="4">
        <f>E13/C13</f>
        <v/>
      </c>
      <c r="I13" s="4">
        <f>F13/C13</f>
        <v/>
      </c>
    </row>
    <row r="14">
      <c r="A14" s="3" t="inlineStr">
        <is>
          <t>MENA-PAK</t>
        </is>
      </c>
      <c r="B14" s="3" t="inlineStr">
        <is>
          <t>SUP-MP-02</t>
        </is>
      </c>
      <c r="C14" s="3" t="n">
        <v>23</v>
      </c>
      <c r="D14" s="3" t="n">
        <v>18</v>
      </c>
      <c r="E14" s="3" t="n">
        <v>14</v>
      </c>
      <c r="F14" s="3" t="n">
        <v>13</v>
      </c>
      <c r="G14" s="4">
        <f>D14/C14</f>
        <v/>
      </c>
      <c r="H14" s="4">
        <f>E14/C14</f>
        <v/>
      </c>
      <c r="I14" s="4">
        <f>F14/C14</f>
        <v/>
      </c>
    </row>
    <row r="15">
      <c r="A15" s="3" t="inlineStr">
        <is>
          <t>MENA-PAK</t>
        </is>
      </c>
      <c r="B15" s="3" t="inlineStr">
        <is>
          <t>SUP-MP-03</t>
        </is>
      </c>
      <c r="C15" s="3" t="n">
        <v>30</v>
      </c>
      <c r="D15" s="3" t="n">
        <v>19</v>
      </c>
      <c r="E15" s="3" t="n">
        <v>27</v>
      </c>
      <c r="F15" s="3" t="n">
        <v>16</v>
      </c>
      <c r="G15" s="4">
        <f>D15/C15</f>
        <v/>
      </c>
      <c r="H15" s="4">
        <f>E15/C15</f>
        <v/>
      </c>
      <c r="I15" s="4">
        <f>F15/C15</f>
        <v/>
      </c>
    </row>
    <row r="16">
      <c r="A16" s="3" t="inlineStr">
        <is>
          <t>MENA-PAK</t>
        </is>
      </c>
      <c r="B16" s="3" t="inlineStr">
        <is>
          <t>SUP-MP-04</t>
        </is>
      </c>
      <c r="C16" s="3" t="n">
        <v>33</v>
      </c>
      <c r="D16" s="3" t="n">
        <v>24</v>
      </c>
      <c r="E16" s="3" t="n">
        <v>27</v>
      </c>
      <c r="F16" s="3" t="n">
        <v>19</v>
      </c>
      <c r="G16" s="4">
        <f>D16/C16</f>
        <v/>
      </c>
      <c r="H16" s="4">
        <f>E16/C16</f>
        <v/>
      </c>
      <c r="I16" s="4">
        <f>F16/C16</f>
        <v/>
      </c>
    </row>
    <row r="17">
      <c r="A17" s="3" t="inlineStr">
        <is>
          <t>MENA-PAK</t>
        </is>
      </c>
      <c r="B17" s="3" t="inlineStr">
        <is>
          <t>SUP-MP-05</t>
        </is>
      </c>
      <c r="C17" s="3" t="n">
        <v>36</v>
      </c>
      <c r="D17" s="3" t="n">
        <v>23</v>
      </c>
      <c r="E17" s="3" t="n">
        <v>28</v>
      </c>
      <c r="F17" s="3" t="n">
        <v>18</v>
      </c>
      <c r="G17" s="4">
        <f>D17/C17</f>
        <v/>
      </c>
      <c r="H17" s="4">
        <f>E17/C17</f>
        <v/>
      </c>
      <c r="I17" s="4">
        <f>F17/C17</f>
        <v/>
      </c>
    </row>
    <row r="18">
      <c r="A18" s="3" t="inlineStr">
        <is>
          <t>South Africa</t>
        </is>
      </c>
      <c r="B18" s="3" t="inlineStr">
        <is>
          <t>SUP-ZA-01</t>
        </is>
      </c>
      <c r="C18" s="3" t="n">
        <v>31</v>
      </c>
      <c r="D18" s="3" t="n">
        <v>21</v>
      </c>
      <c r="E18" s="3" t="n">
        <v>28</v>
      </c>
      <c r="F18" s="3" t="n">
        <v>21</v>
      </c>
      <c r="G18" s="4">
        <f>D18/C18</f>
        <v/>
      </c>
      <c r="H18" s="4">
        <f>E18/C18</f>
        <v/>
      </c>
      <c r="I18" s="4">
        <f>F18/C18</f>
        <v/>
      </c>
    </row>
    <row r="19">
      <c r="A19" s="3" t="inlineStr">
        <is>
          <t>South Africa</t>
        </is>
      </c>
      <c r="B19" s="3" t="inlineStr">
        <is>
          <t>SUP-ZA-02</t>
        </is>
      </c>
      <c r="C19" s="3" t="n">
        <v>32</v>
      </c>
      <c r="D19" s="3" t="n">
        <v>30</v>
      </c>
      <c r="E19" s="3" t="n">
        <v>31</v>
      </c>
      <c r="F19" s="3" t="n">
        <v>29</v>
      </c>
      <c r="G19" s="4">
        <f>D19/C19</f>
        <v/>
      </c>
      <c r="H19" s="4">
        <f>E19/C19</f>
        <v/>
      </c>
      <c r="I19" s="4">
        <f>F19/C19</f>
        <v/>
      </c>
    </row>
    <row r="20">
      <c r="A20" s="3" t="inlineStr">
        <is>
          <t>South Africa</t>
        </is>
      </c>
      <c r="B20" s="3" t="inlineStr">
        <is>
          <t>SUP-ZA-03</t>
        </is>
      </c>
      <c r="C20" s="3" t="n">
        <v>35</v>
      </c>
      <c r="D20" s="3" t="n">
        <v>32</v>
      </c>
      <c r="E20" s="3" t="n">
        <v>34</v>
      </c>
      <c r="F20" s="3" t="n">
        <v>31</v>
      </c>
      <c r="G20" s="4">
        <f>D20/C20</f>
        <v/>
      </c>
      <c r="H20" s="4">
        <f>E20/C20</f>
        <v/>
      </c>
      <c r="I20" s="4">
        <f>F20/C20</f>
        <v/>
      </c>
    </row>
    <row r="21">
      <c r="A21" s="3" t="inlineStr">
        <is>
          <t>South Africa</t>
        </is>
      </c>
      <c r="B21" s="3" t="inlineStr">
        <is>
          <t>SUP-ZA-04</t>
        </is>
      </c>
      <c r="C21" s="3" t="n">
        <v>32</v>
      </c>
      <c r="D21" s="3" t="n">
        <v>24</v>
      </c>
      <c r="E21" s="3" t="n">
        <v>29</v>
      </c>
      <c r="F21" s="3" t="n">
        <v>22</v>
      </c>
      <c r="G21" s="4">
        <f>D21/C21</f>
        <v/>
      </c>
      <c r="H21" s="4">
        <f>E21/C21</f>
        <v/>
      </c>
      <c r="I21" s="4">
        <f>F21/C21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1" customWidth="1" min="4" max="4"/>
    <col width="16" customWidth="1" min="5" max="5"/>
    <col width="33" customWidth="1" min="6" max="6"/>
    <col width="70" customWidth="1" min="7" max="7"/>
    <col width="12" customWidth="1" min="8" max="8"/>
    <col width="17" customWidth="1" min="9" max="9"/>
    <col width="14" customWidth="1" min="10" max="10"/>
    <col width="18" customWidth="1" min="11" max="11"/>
    <col width="14" customWidth="1" min="12" max="12"/>
    <col width="12" customWidth="1" min="13" max="13"/>
    <col width="11" customWidth="1" min="14" max="14"/>
    <col width="40" customWidth="1" min="15" max="15"/>
  </cols>
  <sheetData>
    <row r="1">
      <c r="A1" s="2" t="inlineStr">
        <is>
          <t>action_id</t>
        </is>
      </c>
      <c r="B1" s="2" t="inlineStr">
        <is>
          <t>market</t>
        </is>
      </c>
      <c r="C1" s="2" t="inlineStr">
        <is>
          <t>severity</t>
        </is>
      </c>
      <c r="D1" s="2" t="inlineStr">
        <is>
          <t>exc_type</t>
        </is>
      </c>
      <c r="E1" s="2" t="inlineStr">
        <is>
          <t>ref</t>
        </is>
      </c>
      <c r="F1" s="2" t="inlineStr">
        <is>
          <t>owner_role</t>
        </is>
      </c>
      <c r="G1" s="2" t="inlineStr">
        <is>
          <t>description</t>
        </is>
      </c>
      <c r="H1" s="2" t="inlineStr">
        <is>
          <t>due_date</t>
        </is>
      </c>
      <c r="I1" s="2" t="inlineStr">
        <is>
          <t>status</t>
        </is>
      </c>
      <c r="J1" s="2" t="inlineStr">
        <is>
          <t>days_overdue</t>
        </is>
      </c>
      <c r="K1" s="2" t="inlineStr">
        <is>
          <t>escalation_level</t>
        </is>
      </c>
      <c r="L1" s="2" t="inlineStr">
        <is>
          <t>created_week</t>
        </is>
      </c>
      <c r="M1" s="2" t="inlineStr">
        <is>
          <t>last_seen</t>
        </is>
      </c>
      <c r="N1" s="2" t="inlineStr">
        <is>
          <t>source</t>
        </is>
      </c>
      <c r="O1" s="2" t="inlineStr">
        <is>
          <t>note</t>
        </is>
      </c>
    </row>
    <row r="2">
      <c r="A2" s="3" t="inlineStr">
        <is>
          <t>ACT-0001</t>
        </is>
      </c>
      <c r="B2" s="3" t="inlineStr">
        <is>
          <t>South Africa</t>
        </is>
      </c>
      <c r="C2" s="3" t="inlineStr">
        <is>
          <t>P2</t>
        </is>
      </c>
      <c r="D2" s="3" t="inlineStr">
        <is>
          <t>STOCKOUT_RISK</t>
        </is>
      </c>
      <c r="E2" s="3" t="inlineStr">
        <is>
          <t>ZA-STO-016</t>
        </is>
      </c>
      <c r="F2" s="3" t="inlineStr">
        <is>
          <t>Supply Planner, South Africa</t>
        </is>
      </c>
      <c r="G2" s="3" t="inlineStr">
        <is>
          <t>Projected stockout in week 6 of 8 (lead time 36 d, cover 8.0 d)</t>
        </is>
      </c>
      <c r="H2" s="18" t="n">
        <v>46319</v>
      </c>
      <c r="I2" s="3" t="inlineStr">
        <is>
          <t>Open</t>
        </is>
      </c>
      <c r="J2" s="3" t="n">
        <v>2</v>
      </c>
      <c r="K2" s="3" t="n">
        <v>1</v>
      </c>
      <c r="L2" s="18" t="n">
        <v>46314</v>
      </c>
      <c r="M2" s="18" t="n">
        <v>46321</v>
      </c>
      <c r="N2" s="3" t="inlineStr">
        <is>
          <t>exception</t>
        </is>
      </c>
      <c r="O2" s="3" t="inlineStr"/>
    </row>
    <row r="3">
      <c r="A3" s="3" t="inlineStr">
        <is>
          <t>ACT-0002</t>
        </is>
      </c>
      <c r="B3" s="3" t="inlineStr">
        <is>
          <t>APAC</t>
        </is>
      </c>
      <c r="C3" s="3" t="inlineStr">
        <is>
          <t>P1</t>
        </is>
      </c>
      <c r="D3" s="3" t="inlineStr">
        <is>
          <t>STOCKOUT_RISK</t>
        </is>
      </c>
      <c r="E3" s="3" t="inlineStr">
        <is>
          <t>AP-NET-043</t>
        </is>
      </c>
      <c r="F3" s="3" t="inlineStr">
        <is>
          <t>Supply Planner, APAC</t>
        </is>
      </c>
      <c r="G3" s="3" t="inlineStr">
        <is>
          <t>Projected stockout in week 2 of 8 (lead time 26 d, cover 13.0 d)</t>
        </is>
      </c>
      <c r="H3" s="18" t="n">
        <v>46316</v>
      </c>
      <c r="I3" s="3" t="inlineStr">
        <is>
          <t>Resolved-Verify</t>
        </is>
      </c>
      <c r="J3" s="3" t="n">
        <v>0</v>
      </c>
      <c r="K3" s="3" t="n">
        <v>0</v>
      </c>
      <c r="L3" s="18" t="n">
        <v>46314</v>
      </c>
      <c r="M3" s="18" t="n">
        <v>46314</v>
      </c>
      <c r="N3" s="3" t="inlineStr">
        <is>
          <t>exception</t>
        </is>
      </c>
      <c r="O3" s="3" t="inlineStr">
        <is>
          <t>Not flagged in run 2026-10-26; owner to confirm and close</t>
        </is>
      </c>
    </row>
    <row r="4">
      <c r="A4" s="3" t="inlineStr">
        <is>
          <t>ACT-0003</t>
        </is>
      </c>
      <c r="B4" s="3" t="inlineStr">
        <is>
          <t>India</t>
        </is>
      </c>
      <c r="C4" s="3" t="inlineStr">
        <is>
          <t>P2</t>
        </is>
      </c>
      <c r="D4" s="3" t="inlineStr">
        <is>
          <t>STOCKOUT_RISK</t>
        </is>
      </c>
      <c r="E4" s="3" t="inlineStr">
        <is>
          <t>IN-DEV-021</t>
        </is>
      </c>
      <c r="F4" s="3" t="inlineStr">
        <is>
          <t>Supply Planner, India</t>
        </is>
      </c>
      <c r="G4" s="3" t="inlineStr">
        <is>
          <t>Projected stockout in week 7 of 8 (lead time 18 d, cover 30.0 d)</t>
        </is>
      </c>
      <c r="H4" s="18" t="n">
        <v>46319</v>
      </c>
      <c r="I4" s="3" t="inlineStr">
        <is>
          <t>Resolved-Verify</t>
        </is>
      </c>
      <c r="J4" s="3" t="n">
        <v>0</v>
      </c>
      <c r="K4" s="3" t="n">
        <v>0</v>
      </c>
      <c r="L4" s="18" t="n">
        <v>46314</v>
      </c>
      <c r="M4" s="18" t="n">
        <v>46314</v>
      </c>
      <c r="N4" s="3" t="inlineStr">
        <is>
          <t>exception</t>
        </is>
      </c>
      <c r="O4" s="3" t="inlineStr">
        <is>
          <t>Not flagged in run 2026-10-26; owner to confirm and close</t>
        </is>
      </c>
    </row>
    <row r="5">
      <c r="A5" s="3" t="inlineStr">
        <is>
          <t>ACT-0004</t>
        </is>
      </c>
      <c r="B5" s="3" t="inlineStr">
        <is>
          <t>India</t>
        </is>
      </c>
      <c r="C5" s="3" t="inlineStr">
        <is>
          <t>P2</t>
        </is>
      </c>
      <c r="D5" s="3" t="inlineStr">
        <is>
          <t>STOCKOUT_RISK</t>
        </is>
      </c>
      <c r="E5" s="3" t="inlineStr">
        <is>
          <t>IN-ACC-022</t>
        </is>
      </c>
      <c r="F5" s="3" t="inlineStr">
        <is>
          <t>Supply Planner, India</t>
        </is>
      </c>
      <c r="G5" s="3" t="inlineStr">
        <is>
          <t>Projected stockout in week 6 of 8 (lead time 21 d, cover 20.0 d)</t>
        </is>
      </c>
      <c r="H5" s="18" t="n">
        <v>46319</v>
      </c>
      <c r="I5" s="3" t="inlineStr">
        <is>
          <t>Resolved-Verify</t>
        </is>
      </c>
      <c r="J5" s="3" t="n">
        <v>0</v>
      </c>
      <c r="K5" s="3" t="n">
        <v>0</v>
      </c>
      <c r="L5" s="18" t="n">
        <v>46314</v>
      </c>
      <c r="M5" s="18" t="n">
        <v>46314</v>
      </c>
      <c r="N5" s="3" t="inlineStr">
        <is>
          <t>exception</t>
        </is>
      </c>
      <c r="O5" s="3" t="inlineStr">
        <is>
          <t>Not flagged in run 2026-10-26; owner to confirm and close</t>
        </is>
      </c>
    </row>
    <row r="6">
      <c r="A6" s="3" t="inlineStr">
        <is>
          <t>ACT-0005</t>
        </is>
      </c>
      <c r="B6" s="3" t="inlineStr">
        <is>
          <t>India</t>
        </is>
      </c>
      <c r="C6" s="3" t="inlineStr">
        <is>
          <t>P1</t>
        </is>
      </c>
      <c r="D6" s="3" t="inlineStr">
        <is>
          <t>STOCKOUT_RISK</t>
        </is>
      </c>
      <c r="E6" s="3" t="inlineStr">
        <is>
          <t>IN-ACC-038</t>
        </is>
      </c>
      <c r="F6" s="3" t="inlineStr">
        <is>
          <t>Supply Planner, India</t>
        </is>
      </c>
      <c r="G6" s="3" t="inlineStr">
        <is>
          <t>Projected stockout in week 4 of 8 (lead time 29 d, cover 26.0 d)</t>
        </is>
      </c>
      <c r="H6" s="18" t="n">
        <v>46316</v>
      </c>
      <c r="I6" s="3" t="inlineStr">
        <is>
          <t>In Progress</t>
        </is>
      </c>
      <c r="J6" s="3" t="n">
        <v>5</v>
      </c>
      <c r="K6" s="3" t="n">
        <v>2</v>
      </c>
      <c r="L6" s="18" t="n">
        <v>46314</v>
      </c>
      <c r="M6" s="18" t="n">
        <v>46321</v>
      </c>
      <c r="N6" s="3" t="inlineStr">
        <is>
          <t>exception</t>
        </is>
      </c>
      <c r="O6" s="3" t="inlineStr">
        <is>
          <t>Owner contacted supplier (simulated update)</t>
        </is>
      </c>
    </row>
    <row r="7">
      <c r="A7" s="3" t="inlineStr">
        <is>
          <t>ACT-0006</t>
        </is>
      </c>
      <c r="B7" s="3" t="inlineStr">
        <is>
          <t>South Africa</t>
        </is>
      </c>
      <c r="C7" s="3" t="inlineStr">
        <is>
          <t>P1</t>
        </is>
      </c>
      <c r="D7" s="3" t="inlineStr">
        <is>
          <t>STOCKOUT_RISK</t>
        </is>
      </c>
      <c r="E7" s="3" t="inlineStr">
        <is>
          <t>ZA-DEV-025</t>
        </is>
      </c>
      <c r="F7" s="3" t="inlineStr">
        <is>
          <t>Supply Planner, South Africa</t>
        </is>
      </c>
      <c r="G7" s="3" t="inlineStr">
        <is>
          <t>Projected stockout in week 4 of 8 (lead time 54 d, cover 20.0 d)</t>
        </is>
      </c>
      <c r="H7" s="18" t="n">
        <v>46316</v>
      </c>
      <c r="I7" s="3" t="inlineStr">
        <is>
          <t>Resolved-Verify</t>
        </is>
      </c>
      <c r="J7" s="3" t="n">
        <v>0</v>
      </c>
      <c r="K7" s="3" t="n">
        <v>0</v>
      </c>
      <c r="L7" s="18" t="n">
        <v>46314</v>
      </c>
      <c r="M7" s="18" t="n">
        <v>46314</v>
      </c>
      <c r="N7" s="3" t="inlineStr">
        <is>
          <t>exception</t>
        </is>
      </c>
      <c r="O7" s="3" t="inlineStr">
        <is>
          <t>Not flagged in run 2026-10-26; owner to confirm and close</t>
        </is>
      </c>
    </row>
    <row r="8">
      <c r="A8" s="3" t="inlineStr">
        <is>
          <t>ACT-0007</t>
        </is>
      </c>
      <c r="B8" s="3" t="inlineStr">
        <is>
          <t>South Africa</t>
        </is>
      </c>
      <c r="C8" s="3" t="inlineStr">
        <is>
          <t>P1</t>
        </is>
      </c>
      <c r="D8" s="3" t="inlineStr">
        <is>
          <t>STOCKOUT_RISK</t>
        </is>
      </c>
      <c r="E8" s="3" t="inlineStr">
        <is>
          <t>ZA-DEV-009</t>
        </is>
      </c>
      <c r="F8" s="3" t="inlineStr">
        <is>
          <t>Supply Planner, South Africa</t>
        </is>
      </c>
      <c r="G8" s="3" t="inlineStr">
        <is>
          <t>Projected stockout in week 4 of 8 (lead time 45 d, cover 22.0 d)</t>
        </is>
      </c>
      <c r="H8" s="18" t="n">
        <v>46316</v>
      </c>
      <c r="I8" s="3" t="inlineStr">
        <is>
          <t>Resolved-Verify</t>
        </is>
      </c>
      <c r="J8" s="3" t="n">
        <v>0</v>
      </c>
      <c r="K8" s="3" t="n">
        <v>0</v>
      </c>
      <c r="L8" s="18" t="n">
        <v>46314</v>
      </c>
      <c r="M8" s="18" t="n">
        <v>46314</v>
      </c>
      <c r="N8" s="3" t="inlineStr">
        <is>
          <t>exception</t>
        </is>
      </c>
      <c r="O8" s="3" t="inlineStr">
        <is>
          <t>Not flagged in run 2026-10-26; owner to confirm and close</t>
        </is>
      </c>
    </row>
    <row r="9">
      <c r="A9" s="3" t="inlineStr">
        <is>
          <t>ACT-0008</t>
        </is>
      </c>
      <c r="B9" s="3" t="inlineStr">
        <is>
          <t>South Africa</t>
        </is>
      </c>
      <c r="C9" s="3" t="inlineStr">
        <is>
          <t>P1</t>
        </is>
      </c>
      <c r="D9" s="3" t="inlineStr">
        <is>
          <t>STOCKOUT_RISK</t>
        </is>
      </c>
      <c r="E9" s="3" t="inlineStr">
        <is>
          <t>ZA-STO-012</t>
        </is>
      </c>
      <c r="F9" s="3" t="inlineStr">
        <is>
          <t>Supply Planner, South Africa</t>
        </is>
      </c>
      <c r="G9" s="3" t="inlineStr">
        <is>
          <t>Projected stockout in week 5 of 8 (lead time 65 d, cover 32.0 d)</t>
        </is>
      </c>
      <c r="H9" s="18" t="n">
        <v>46316</v>
      </c>
      <c r="I9" s="3" t="inlineStr">
        <is>
          <t>Resolved-Verify</t>
        </is>
      </c>
      <c r="J9" s="3" t="n">
        <v>0</v>
      </c>
      <c r="K9" s="3" t="n">
        <v>0</v>
      </c>
      <c r="L9" s="18" t="n">
        <v>46314</v>
      </c>
      <c r="M9" s="18" t="n">
        <v>46314</v>
      </c>
      <c r="N9" s="3" t="inlineStr">
        <is>
          <t>exception</t>
        </is>
      </c>
      <c r="O9" s="3" t="inlineStr">
        <is>
          <t>Not flagged in run 2026-10-26; owner to confirm and close</t>
        </is>
      </c>
    </row>
    <row r="10">
      <c r="A10" s="3" t="inlineStr">
        <is>
          <t>ACT-0009</t>
        </is>
      </c>
      <c r="B10" s="3" t="inlineStr">
        <is>
          <t>APAC</t>
        </is>
      </c>
      <c r="C10" s="3" t="inlineStr">
        <is>
          <t>P2</t>
        </is>
      </c>
      <c r="D10" s="3" t="inlineStr">
        <is>
          <t>STOCKOUT_RISK</t>
        </is>
      </c>
      <c r="E10" s="3" t="inlineStr">
        <is>
          <t>AP-ACC-030</t>
        </is>
      </c>
      <c r="F10" s="3" t="inlineStr">
        <is>
          <t>Supply Planner, APAC</t>
        </is>
      </c>
      <c r="G10" s="3" t="inlineStr">
        <is>
          <t>Projected stockout in week 6 of 8 (lead time 32 d, cover 35.0 d)</t>
        </is>
      </c>
      <c r="H10" s="18" t="n">
        <v>46319</v>
      </c>
      <c r="I10" s="3" t="inlineStr">
        <is>
          <t>Open</t>
        </is>
      </c>
      <c r="J10" s="3" t="n">
        <v>2</v>
      </c>
      <c r="K10" s="3" t="n">
        <v>1</v>
      </c>
      <c r="L10" s="18" t="n">
        <v>46314</v>
      </c>
      <c r="M10" s="18" t="n">
        <v>46321</v>
      </c>
      <c r="N10" s="3" t="inlineStr">
        <is>
          <t>exception</t>
        </is>
      </c>
      <c r="O10" s="3" t="inlineStr"/>
    </row>
    <row r="11">
      <c r="A11" s="3" t="inlineStr">
        <is>
          <t>ACT-0010</t>
        </is>
      </c>
      <c r="B11" s="3" t="inlineStr">
        <is>
          <t>APAC</t>
        </is>
      </c>
      <c r="C11" s="3" t="inlineStr">
        <is>
          <t>P1</t>
        </is>
      </c>
      <c r="D11" s="3" t="inlineStr">
        <is>
          <t>STOCKOUT_RISK</t>
        </is>
      </c>
      <c r="E11" s="3" t="inlineStr">
        <is>
          <t>AP-ACC-022</t>
        </is>
      </c>
      <c r="F11" s="3" t="inlineStr">
        <is>
          <t>Supply Planner, APAC</t>
        </is>
      </c>
      <c r="G11" s="3" t="inlineStr">
        <is>
          <t>Projected stockout in week 2 of 8 (lead time 17 d, cover 9.0 d)</t>
        </is>
      </c>
      <c r="H11" s="18" t="n">
        <v>46316</v>
      </c>
      <c r="I11" s="3" t="inlineStr">
        <is>
          <t>Open</t>
        </is>
      </c>
      <c r="J11" s="3" t="n">
        <v>5</v>
      </c>
      <c r="K11" s="3" t="n">
        <v>2</v>
      </c>
      <c r="L11" s="18" t="n">
        <v>46314</v>
      </c>
      <c r="M11" s="18" t="n">
        <v>46321</v>
      </c>
      <c r="N11" s="3" t="inlineStr">
        <is>
          <t>exception</t>
        </is>
      </c>
      <c r="O11" s="3" t="inlineStr"/>
    </row>
    <row r="12">
      <c r="A12" s="3" t="inlineStr">
        <is>
          <t>ACT-0011</t>
        </is>
      </c>
      <c r="B12" s="3" t="inlineStr">
        <is>
          <t>South Africa</t>
        </is>
      </c>
      <c r="C12" s="3" t="inlineStr">
        <is>
          <t>P2</t>
        </is>
      </c>
      <c r="D12" s="3" t="inlineStr">
        <is>
          <t>STOCKOUT_RISK</t>
        </is>
      </c>
      <c r="E12" s="3" t="inlineStr">
        <is>
          <t>ZA-DEV-013</t>
        </is>
      </c>
      <c r="F12" s="3" t="inlineStr">
        <is>
          <t>Supply Planner, South Africa</t>
        </is>
      </c>
      <c r="G12" s="3" t="inlineStr">
        <is>
          <t>Projected stockout in week 2 of 8 (lead time 31 d, cover 9.0 d)</t>
        </is>
      </c>
      <c r="H12" s="18" t="n">
        <v>46319</v>
      </c>
      <c r="I12" s="3" t="inlineStr">
        <is>
          <t>Open</t>
        </is>
      </c>
      <c r="J12" s="3" t="n">
        <v>2</v>
      </c>
      <c r="K12" s="3" t="n">
        <v>1</v>
      </c>
      <c r="L12" s="18" t="n">
        <v>46314</v>
      </c>
      <c r="M12" s="18" t="n">
        <v>46321</v>
      </c>
      <c r="N12" s="3" t="inlineStr">
        <is>
          <t>exception</t>
        </is>
      </c>
      <c r="O12" s="3" t="inlineStr"/>
    </row>
    <row r="13">
      <c r="A13" s="3" t="inlineStr">
        <is>
          <t>ACT-0012</t>
        </is>
      </c>
      <c r="B13" s="3" t="inlineStr">
        <is>
          <t>APAC</t>
        </is>
      </c>
      <c r="C13" s="3" t="inlineStr">
        <is>
          <t>P2</t>
        </is>
      </c>
      <c r="D13" s="3" t="inlineStr">
        <is>
          <t>STOCKOUT_RISK</t>
        </is>
      </c>
      <c r="E13" s="3" t="inlineStr">
        <is>
          <t>AP-ACC-038</t>
        </is>
      </c>
      <c r="F13" s="3" t="inlineStr">
        <is>
          <t>Supply Planner, APAC</t>
        </is>
      </c>
      <c r="G13" s="3" t="inlineStr">
        <is>
          <t>Projected stockout in week 7 of 8 (lead time 21 d, cover 9.0 d)</t>
        </is>
      </c>
      <c r="H13" s="18" t="n">
        <v>46319</v>
      </c>
      <c r="I13" s="3" t="inlineStr">
        <is>
          <t>Resolved-Verify</t>
        </is>
      </c>
      <c r="J13" s="3" t="n">
        <v>0</v>
      </c>
      <c r="K13" s="3" t="n">
        <v>0</v>
      </c>
      <c r="L13" s="18" t="n">
        <v>46314</v>
      </c>
      <c r="M13" s="18" t="n">
        <v>46314</v>
      </c>
      <c r="N13" s="3" t="inlineStr">
        <is>
          <t>exception</t>
        </is>
      </c>
      <c r="O13" s="3" t="inlineStr">
        <is>
          <t>Not flagged in run 2026-10-26; owner to confirm and close</t>
        </is>
      </c>
    </row>
    <row r="14">
      <c r="A14" s="3" t="inlineStr">
        <is>
          <t>ACT-0013</t>
        </is>
      </c>
      <c r="B14" s="3" t="inlineStr">
        <is>
          <t>APAC</t>
        </is>
      </c>
      <c r="C14" s="3" t="inlineStr">
        <is>
          <t>P2</t>
        </is>
      </c>
      <c r="D14" s="3" t="inlineStr">
        <is>
          <t>STOCKOUT_RISK</t>
        </is>
      </c>
      <c r="E14" s="3" t="inlineStr">
        <is>
          <t>AP-DEV-041</t>
        </is>
      </c>
      <c r="F14" s="3" t="inlineStr">
        <is>
          <t>Supply Planner, APAC</t>
        </is>
      </c>
      <c r="G14" s="3" t="inlineStr">
        <is>
          <t>Projected stockout in week 4 of 8 (lead time 35 d, cover 25.0 d)</t>
        </is>
      </c>
      <c r="H14" s="18" t="n">
        <v>46319</v>
      </c>
      <c r="I14" s="3" t="inlineStr">
        <is>
          <t>Open</t>
        </is>
      </c>
      <c r="J14" s="3" t="n">
        <v>2</v>
      </c>
      <c r="K14" s="3" t="n">
        <v>1</v>
      </c>
      <c r="L14" s="18" t="n">
        <v>46314</v>
      </c>
      <c r="M14" s="18" t="n">
        <v>46321</v>
      </c>
      <c r="N14" s="3" t="inlineStr">
        <is>
          <t>exception</t>
        </is>
      </c>
      <c r="O14" s="3" t="inlineStr"/>
    </row>
    <row r="15">
      <c r="A15" s="3" t="inlineStr">
        <is>
          <t>ACT-0014</t>
        </is>
      </c>
      <c r="B15" s="3" t="inlineStr">
        <is>
          <t>MENA-PAK</t>
        </is>
      </c>
      <c r="C15" s="3" t="inlineStr">
        <is>
          <t>P1</t>
        </is>
      </c>
      <c r="D15" s="3" t="inlineStr">
        <is>
          <t>STOCKOUT_RISK</t>
        </is>
      </c>
      <c r="E15" s="3" t="inlineStr">
        <is>
          <t>MP-ACC-030</t>
        </is>
      </c>
      <c r="F15" s="3" t="inlineStr">
        <is>
          <t>Supply Planner, MENA-PAK</t>
        </is>
      </c>
      <c r="G15" s="3" t="inlineStr">
        <is>
          <t>Projected stockout in week 4 of 8 (lead time 55 d, cover 7.0 d)</t>
        </is>
      </c>
      <c r="H15" s="18" t="n">
        <v>46316</v>
      </c>
      <c r="I15" s="3" t="inlineStr">
        <is>
          <t>Resolved-Verify</t>
        </is>
      </c>
      <c r="J15" s="3" t="n">
        <v>0</v>
      </c>
      <c r="K15" s="3" t="n">
        <v>0</v>
      </c>
      <c r="L15" s="18" t="n">
        <v>46314</v>
      </c>
      <c r="M15" s="18" t="n">
        <v>46314</v>
      </c>
      <c r="N15" s="3" t="inlineStr">
        <is>
          <t>exception</t>
        </is>
      </c>
      <c r="O15" s="3" t="inlineStr">
        <is>
          <t>Not flagged in run 2026-10-26; owner to confirm and close</t>
        </is>
      </c>
    </row>
    <row r="16">
      <c r="A16" s="3" t="inlineStr">
        <is>
          <t>ACT-0015</t>
        </is>
      </c>
      <c r="B16" s="3" t="inlineStr">
        <is>
          <t>India</t>
        </is>
      </c>
      <c r="C16" s="3" t="inlineStr">
        <is>
          <t>P1</t>
        </is>
      </c>
      <c r="D16" s="3" t="inlineStr">
        <is>
          <t>STOCKOUT_RISK</t>
        </is>
      </c>
      <c r="E16" s="3" t="inlineStr">
        <is>
          <t>IN-NET-019</t>
        </is>
      </c>
      <c r="F16" s="3" t="inlineStr">
        <is>
          <t>Supply Planner, India</t>
        </is>
      </c>
      <c r="G16" s="3" t="inlineStr">
        <is>
          <t>Projected stockout in week 3 of 8 (lead time 18 d, cover 16.0 d)</t>
        </is>
      </c>
      <c r="H16" s="18" t="n">
        <v>46316</v>
      </c>
      <c r="I16" s="3" t="inlineStr">
        <is>
          <t>Resolved-Verify</t>
        </is>
      </c>
      <c r="J16" s="3" t="n">
        <v>0</v>
      </c>
      <c r="K16" s="3" t="n">
        <v>0</v>
      </c>
      <c r="L16" s="18" t="n">
        <v>46314</v>
      </c>
      <c r="M16" s="18" t="n">
        <v>46314</v>
      </c>
      <c r="N16" s="3" t="inlineStr">
        <is>
          <t>exception</t>
        </is>
      </c>
      <c r="O16" s="3" t="inlineStr">
        <is>
          <t>Not flagged in run 2026-10-26; owner to confirm and close</t>
        </is>
      </c>
    </row>
    <row r="17">
      <c r="A17" s="3" t="inlineStr">
        <is>
          <t>ACT-0016</t>
        </is>
      </c>
      <c r="B17" s="3" t="inlineStr">
        <is>
          <t>MENA-PAK</t>
        </is>
      </c>
      <c r="C17" s="3" t="inlineStr">
        <is>
          <t>P2</t>
        </is>
      </c>
      <c r="D17" s="3" t="inlineStr">
        <is>
          <t>STOCKOUT_RISK</t>
        </is>
      </c>
      <c r="E17" s="3" t="inlineStr">
        <is>
          <t>MP-STO-008</t>
        </is>
      </c>
      <c r="F17" s="3" t="inlineStr">
        <is>
          <t>Supply Planner, MENA-PAK</t>
        </is>
      </c>
      <c r="G17" s="3" t="inlineStr">
        <is>
          <t>Projected stockout in week 8 of 8 (lead time 39 d, cover 31.0 d)</t>
        </is>
      </c>
      <c r="H17" s="18" t="n">
        <v>46319</v>
      </c>
      <c r="I17" s="3" t="inlineStr">
        <is>
          <t>Resolved-Verify</t>
        </is>
      </c>
      <c r="J17" s="3" t="n">
        <v>0</v>
      </c>
      <c r="K17" s="3" t="n">
        <v>0</v>
      </c>
      <c r="L17" s="18" t="n">
        <v>46314</v>
      </c>
      <c r="M17" s="18" t="n">
        <v>46314</v>
      </c>
      <c r="N17" s="3" t="inlineStr">
        <is>
          <t>exception</t>
        </is>
      </c>
      <c r="O17" s="3" t="inlineStr">
        <is>
          <t>Not flagged in run 2026-10-26; owner to confirm and close</t>
        </is>
      </c>
    </row>
    <row r="18">
      <c r="A18" s="3" t="inlineStr">
        <is>
          <t>ACT-0017</t>
        </is>
      </c>
      <c r="B18" s="3" t="inlineStr">
        <is>
          <t>MENA-PAK</t>
        </is>
      </c>
      <c r="C18" s="3" t="inlineStr">
        <is>
          <t>P1</t>
        </is>
      </c>
      <c r="D18" s="3" t="inlineStr">
        <is>
          <t>STOCKOUT_RISK</t>
        </is>
      </c>
      <c r="E18" s="3" t="inlineStr">
        <is>
          <t>MP-NET-019</t>
        </is>
      </c>
      <c r="F18" s="3" t="inlineStr">
        <is>
          <t>Supply Planner, MENA-PAK</t>
        </is>
      </c>
      <c r="G18" s="3" t="inlineStr">
        <is>
          <t>Projected stockout in week 1 of 8 (lead time 42 d, cover 5.0 d)</t>
        </is>
      </c>
      <c r="H18" s="18" t="n">
        <v>46316</v>
      </c>
      <c r="I18" s="3" t="inlineStr">
        <is>
          <t>Resolved-Verify</t>
        </is>
      </c>
      <c r="J18" s="3" t="n">
        <v>0</v>
      </c>
      <c r="K18" s="3" t="n">
        <v>0</v>
      </c>
      <c r="L18" s="18" t="n">
        <v>46314</v>
      </c>
      <c r="M18" s="18" t="n">
        <v>46314</v>
      </c>
      <c r="N18" s="3" t="inlineStr">
        <is>
          <t>exception</t>
        </is>
      </c>
      <c r="O18" s="3" t="inlineStr">
        <is>
          <t>Not flagged in run 2026-10-26; owner to confirm and close</t>
        </is>
      </c>
    </row>
    <row r="19">
      <c r="A19" s="3" t="inlineStr">
        <is>
          <t>ACT-0018</t>
        </is>
      </c>
      <c r="B19" s="3" t="inlineStr">
        <is>
          <t>APAC</t>
        </is>
      </c>
      <c r="C19" s="3" t="inlineStr">
        <is>
          <t>P2</t>
        </is>
      </c>
      <c r="D19" s="3" t="inlineStr">
        <is>
          <t>STOCKOUT_RISK</t>
        </is>
      </c>
      <c r="E19" s="3" t="inlineStr">
        <is>
          <t>AP-STO-024</t>
        </is>
      </c>
      <c r="F19" s="3" t="inlineStr">
        <is>
          <t>Supply Planner, APAC</t>
        </is>
      </c>
      <c r="G19" s="3" t="inlineStr">
        <is>
          <t>Projected stockout in week 6 of 8 (lead time 28 d, cover 32.0 d)</t>
        </is>
      </c>
      <c r="H19" s="18" t="n">
        <v>46319</v>
      </c>
      <c r="I19" s="3" t="inlineStr">
        <is>
          <t>Resolved-Verify</t>
        </is>
      </c>
      <c r="J19" s="3" t="n">
        <v>0</v>
      </c>
      <c r="K19" s="3" t="n">
        <v>0</v>
      </c>
      <c r="L19" s="18" t="n">
        <v>46314</v>
      </c>
      <c r="M19" s="18" t="n">
        <v>46314</v>
      </c>
      <c r="N19" s="3" t="inlineStr">
        <is>
          <t>exception</t>
        </is>
      </c>
      <c r="O19" s="3" t="inlineStr">
        <is>
          <t>Not flagged in run 2026-10-26; owner to confirm and close</t>
        </is>
      </c>
    </row>
    <row r="20">
      <c r="A20" s="3" t="inlineStr">
        <is>
          <t>ACT-0019</t>
        </is>
      </c>
      <c r="B20" s="3" t="inlineStr">
        <is>
          <t>India</t>
        </is>
      </c>
      <c r="C20" s="3" t="inlineStr">
        <is>
          <t>P2</t>
        </is>
      </c>
      <c r="D20" s="3" t="inlineStr">
        <is>
          <t>STOCKOUT_RISK</t>
        </is>
      </c>
      <c r="E20" s="3" t="inlineStr">
        <is>
          <t>IN-STO-040</t>
        </is>
      </c>
      <c r="F20" s="3" t="inlineStr">
        <is>
          <t>Supply Planner, India</t>
        </is>
      </c>
      <c r="G20" s="3" t="inlineStr">
        <is>
          <t>Projected stockout in week 7 of 8 (lead time 28 d, cover 43.0 d)</t>
        </is>
      </c>
      <c r="H20" s="18" t="n">
        <v>46319</v>
      </c>
      <c r="I20" s="3" t="inlineStr">
        <is>
          <t>Resolved-Verify</t>
        </is>
      </c>
      <c r="J20" s="3" t="n">
        <v>0</v>
      </c>
      <c r="K20" s="3" t="n">
        <v>0</v>
      </c>
      <c r="L20" s="18" t="n">
        <v>46314</v>
      </c>
      <c r="M20" s="18" t="n">
        <v>46314</v>
      </c>
      <c r="N20" s="3" t="inlineStr">
        <is>
          <t>exception</t>
        </is>
      </c>
      <c r="O20" s="3" t="inlineStr">
        <is>
          <t>Not flagged in run 2026-10-26; owner to confirm and close</t>
        </is>
      </c>
    </row>
    <row r="21">
      <c r="A21" s="3" t="inlineStr">
        <is>
          <t>ACT-0020</t>
        </is>
      </c>
      <c r="B21" s="3" t="inlineStr">
        <is>
          <t>South Africa</t>
        </is>
      </c>
      <c r="C21" s="3" t="inlineStr">
        <is>
          <t>P1</t>
        </is>
      </c>
      <c r="D21" s="3" t="inlineStr">
        <is>
          <t>STOCKOUT_RISK</t>
        </is>
      </c>
      <c r="E21" s="3" t="inlineStr">
        <is>
          <t>ZA-DEV-005</t>
        </is>
      </c>
      <c r="F21" s="3" t="inlineStr">
        <is>
          <t>Supply Planner, South Africa</t>
        </is>
      </c>
      <c r="G21" s="3" t="inlineStr">
        <is>
          <t>Projected stockout in week 8 of 8 (lead time 32 d, cover 32.0 d)</t>
        </is>
      </c>
      <c r="H21" s="18" t="n">
        <v>46316</v>
      </c>
      <c r="I21" s="3" t="inlineStr">
        <is>
          <t>Open</t>
        </is>
      </c>
      <c r="J21" s="3" t="n">
        <v>5</v>
      </c>
      <c r="K21" s="3" t="n">
        <v>2</v>
      </c>
      <c r="L21" s="18" t="n">
        <v>46314</v>
      </c>
      <c r="M21" s="18" t="n">
        <v>46321</v>
      </c>
      <c r="N21" s="3" t="inlineStr">
        <is>
          <t>exception</t>
        </is>
      </c>
      <c r="O21" s="3" t="inlineStr"/>
    </row>
    <row r="22">
      <c r="A22" s="3" t="inlineStr">
        <is>
          <t>ACT-0021</t>
        </is>
      </c>
      <c r="B22" s="3" t="inlineStr">
        <is>
          <t>South Africa</t>
        </is>
      </c>
      <c r="C22" s="3" t="inlineStr">
        <is>
          <t>P2</t>
        </is>
      </c>
      <c r="D22" s="3" t="inlineStr">
        <is>
          <t>STOCKOUT_RISK</t>
        </is>
      </c>
      <c r="E22" s="3" t="inlineStr">
        <is>
          <t>ZA-NET-011</t>
        </is>
      </c>
      <c r="F22" s="3" t="inlineStr">
        <is>
          <t>Supply Planner, South Africa</t>
        </is>
      </c>
      <c r="G22" s="3" t="inlineStr">
        <is>
          <t>Projected stockout in week 8 of 8 (lead time 35 d, cover 17.0 d)</t>
        </is>
      </c>
      <c r="H22" s="18" t="n">
        <v>46319</v>
      </c>
      <c r="I22" s="3" t="inlineStr">
        <is>
          <t>Resolved-Verify</t>
        </is>
      </c>
      <c r="J22" s="3" t="n">
        <v>0</v>
      </c>
      <c r="K22" s="3" t="n">
        <v>0</v>
      </c>
      <c r="L22" s="18" t="n">
        <v>46314</v>
      </c>
      <c r="M22" s="18" t="n">
        <v>46314</v>
      </c>
      <c r="N22" s="3" t="inlineStr">
        <is>
          <t>exception</t>
        </is>
      </c>
      <c r="O22" s="3" t="inlineStr">
        <is>
          <t>Not flagged in run 2026-10-26; owner to confirm and close</t>
        </is>
      </c>
    </row>
    <row r="23">
      <c r="A23" s="3" t="inlineStr">
        <is>
          <t>ACT-0022</t>
        </is>
      </c>
      <c r="B23" s="3" t="inlineStr">
        <is>
          <t>South Africa</t>
        </is>
      </c>
      <c r="C23" s="3" t="inlineStr">
        <is>
          <t>P1</t>
        </is>
      </c>
      <c r="D23" s="3" t="inlineStr">
        <is>
          <t>STOCKOUT_RISK</t>
        </is>
      </c>
      <c r="E23" s="3" t="inlineStr">
        <is>
          <t>ZA-STO-020</t>
        </is>
      </c>
      <c r="F23" s="3" t="inlineStr">
        <is>
          <t>Supply Planner, South Africa</t>
        </is>
      </c>
      <c r="G23" s="3" t="inlineStr">
        <is>
          <t>Projected stockout in week 5 of 8 (lead time 33 d, cover 18.0 d)</t>
        </is>
      </c>
      <c r="H23" s="18" t="n">
        <v>46316</v>
      </c>
      <c r="I23" s="3" t="inlineStr">
        <is>
          <t>Resolved-Verify</t>
        </is>
      </c>
      <c r="J23" s="3" t="n">
        <v>0</v>
      </c>
      <c r="K23" s="3" t="n">
        <v>0</v>
      </c>
      <c r="L23" s="18" t="n">
        <v>46314</v>
      </c>
      <c r="M23" s="18" t="n">
        <v>46314</v>
      </c>
      <c r="N23" s="3" t="inlineStr">
        <is>
          <t>exception</t>
        </is>
      </c>
      <c r="O23" s="3" t="inlineStr">
        <is>
          <t>Not flagged in run 2026-10-26; owner to confirm and close</t>
        </is>
      </c>
    </row>
    <row r="24">
      <c r="A24" s="3" t="inlineStr">
        <is>
          <t>ACT-0023</t>
        </is>
      </c>
      <c r="B24" s="3" t="inlineStr">
        <is>
          <t>APAC</t>
        </is>
      </c>
      <c r="C24" s="3" t="inlineStr">
        <is>
          <t>P1</t>
        </is>
      </c>
      <c r="D24" s="3" t="inlineStr">
        <is>
          <t>STOCKOUT_RISK</t>
        </is>
      </c>
      <c r="E24" s="3" t="inlineStr">
        <is>
          <t>AP-NET-019</t>
        </is>
      </c>
      <c r="F24" s="3" t="inlineStr">
        <is>
          <t>Supply Planner, APAC</t>
        </is>
      </c>
      <c r="G24" s="3" t="inlineStr">
        <is>
          <t>Projected stockout in week 2 of 8 (lead time 33 d, cover 9.0 d)</t>
        </is>
      </c>
      <c r="H24" s="18" t="n">
        <v>46316</v>
      </c>
      <c r="I24" s="3" t="inlineStr">
        <is>
          <t>Open</t>
        </is>
      </c>
      <c r="J24" s="3" t="n">
        <v>5</v>
      </c>
      <c r="K24" s="3" t="n">
        <v>2</v>
      </c>
      <c r="L24" s="18" t="n">
        <v>46314</v>
      </c>
      <c r="M24" s="18" t="n">
        <v>46321</v>
      </c>
      <c r="N24" s="3" t="inlineStr">
        <is>
          <t>exception</t>
        </is>
      </c>
      <c r="O24" s="3" t="inlineStr"/>
    </row>
    <row r="25">
      <c r="A25" s="3" t="inlineStr">
        <is>
          <t>ACT-0024</t>
        </is>
      </c>
      <c r="B25" s="3" t="inlineStr">
        <is>
          <t>MENA-PAK</t>
        </is>
      </c>
      <c r="C25" s="3" t="inlineStr">
        <is>
          <t>P1</t>
        </is>
      </c>
      <c r="D25" s="3" t="inlineStr">
        <is>
          <t>STOCKOUT_RISK</t>
        </is>
      </c>
      <c r="E25" s="3" t="inlineStr">
        <is>
          <t>MP-DEV-001</t>
        </is>
      </c>
      <c r="F25" s="3" t="inlineStr">
        <is>
          <t>Supply Planner, MENA-PAK</t>
        </is>
      </c>
      <c r="G25" s="3" t="inlineStr">
        <is>
          <t>Projected stockout in week 3 of 8 (lead time 47 d, cover 7.0 d)</t>
        </is>
      </c>
      <c r="H25" s="18" t="n">
        <v>46316</v>
      </c>
      <c r="I25" s="3" t="inlineStr">
        <is>
          <t>Resolved-Verify</t>
        </is>
      </c>
      <c r="J25" s="3" t="n">
        <v>0</v>
      </c>
      <c r="K25" s="3" t="n">
        <v>0</v>
      </c>
      <c r="L25" s="18" t="n">
        <v>46314</v>
      </c>
      <c r="M25" s="18" t="n">
        <v>46314</v>
      </c>
      <c r="N25" s="3" t="inlineStr">
        <is>
          <t>exception</t>
        </is>
      </c>
      <c r="O25" s="3" t="inlineStr">
        <is>
          <t>Not flagged in run 2026-10-26; owner to confirm and close</t>
        </is>
      </c>
    </row>
    <row r="26">
      <c r="A26" s="3" t="inlineStr">
        <is>
          <t>ACT-0025</t>
        </is>
      </c>
      <c r="B26" s="3" t="inlineStr">
        <is>
          <t>MENA-PAK</t>
        </is>
      </c>
      <c r="C26" s="3" t="inlineStr">
        <is>
          <t>P1</t>
        </is>
      </c>
      <c r="D26" s="3" t="inlineStr">
        <is>
          <t>STOCKOUT_RISK</t>
        </is>
      </c>
      <c r="E26" s="3" t="inlineStr">
        <is>
          <t>MP-ACC-010</t>
        </is>
      </c>
      <c r="F26" s="3" t="inlineStr">
        <is>
          <t>Supply Planner, MENA-PAK</t>
        </is>
      </c>
      <c r="G26" s="3" t="inlineStr">
        <is>
          <t>Projected stockout in week 1 of 8 (lead time 29 d, cover 4.0 d)</t>
        </is>
      </c>
      <c r="H26" s="18" t="n">
        <v>46316</v>
      </c>
      <c r="I26" s="3" t="inlineStr">
        <is>
          <t>Resolved-Verify</t>
        </is>
      </c>
      <c r="J26" s="3" t="n">
        <v>0</v>
      </c>
      <c r="K26" s="3" t="n">
        <v>0</v>
      </c>
      <c r="L26" s="18" t="n">
        <v>46314</v>
      </c>
      <c r="M26" s="18" t="n">
        <v>46314</v>
      </c>
      <c r="N26" s="3" t="inlineStr">
        <is>
          <t>exception</t>
        </is>
      </c>
      <c r="O26" s="3" t="inlineStr">
        <is>
          <t>Not flagged in run 2026-10-26; owner to confirm and close</t>
        </is>
      </c>
    </row>
    <row r="27">
      <c r="A27" s="3" t="inlineStr">
        <is>
          <t>ACT-0026</t>
        </is>
      </c>
      <c r="B27" s="3" t="inlineStr">
        <is>
          <t>South Africa</t>
        </is>
      </c>
      <c r="C27" s="3" t="inlineStr">
        <is>
          <t>P1</t>
        </is>
      </c>
      <c r="D27" s="3" t="inlineStr">
        <is>
          <t>STOCKOUT_RISK</t>
        </is>
      </c>
      <c r="E27" s="3" t="inlineStr">
        <is>
          <t>ZA-NET-007</t>
        </is>
      </c>
      <c r="F27" s="3" t="inlineStr">
        <is>
          <t>Supply Planner, South Africa</t>
        </is>
      </c>
      <c r="G27" s="3" t="inlineStr">
        <is>
          <t>Projected stockout in week 4 of 8 (lead time 57 d, cover 26.0 d)</t>
        </is>
      </c>
      <c r="H27" s="18" t="n">
        <v>46316</v>
      </c>
      <c r="I27" s="3" t="inlineStr">
        <is>
          <t>Resolved-Verify</t>
        </is>
      </c>
      <c r="J27" s="3" t="n">
        <v>0</v>
      </c>
      <c r="K27" s="3" t="n">
        <v>0</v>
      </c>
      <c r="L27" s="18" t="n">
        <v>46314</v>
      </c>
      <c r="M27" s="18" t="n">
        <v>46314</v>
      </c>
      <c r="N27" s="3" t="inlineStr">
        <is>
          <t>exception</t>
        </is>
      </c>
      <c r="O27" s="3" t="inlineStr">
        <is>
          <t>Not flagged in run 2026-10-26; owner to confirm and close</t>
        </is>
      </c>
    </row>
    <row r="28">
      <c r="A28" s="3" t="inlineStr">
        <is>
          <t>ACT-0027</t>
        </is>
      </c>
      <c r="B28" s="3" t="inlineStr">
        <is>
          <t>South Africa</t>
        </is>
      </c>
      <c r="C28" s="3" t="inlineStr">
        <is>
          <t>P2</t>
        </is>
      </c>
      <c r="D28" s="3" t="inlineStr">
        <is>
          <t>STOCKOUT_RISK</t>
        </is>
      </c>
      <c r="E28" s="3" t="inlineStr">
        <is>
          <t>ZA-NET-023</t>
        </is>
      </c>
      <c r="F28" s="3" t="inlineStr">
        <is>
          <t>Supply Planner, South Africa</t>
        </is>
      </c>
      <c r="G28" s="3" t="inlineStr">
        <is>
          <t>Projected stockout in week 8 of 8 (lead time 49 d, cover 11.0 d)</t>
        </is>
      </c>
      <c r="H28" s="18" t="n">
        <v>46319</v>
      </c>
      <c r="I28" s="3" t="inlineStr">
        <is>
          <t>Resolved-Verify</t>
        </is>
      </c>
      <c r="J28" s="3" t="n">
        <v>0</v>
      </c>
      <c r="K28" s="3" t="n">
        <v>0</v>
      </c>
      <c r="L28" s="18" t="n">
        <v>46314</v>
      </c>
      <c r="M28" s="18" t="n">
        <v>46314</v>
      </c>
      <c r="N28" s="3" t="inlineStr">
        <is>
          <t>exception</t>
        </is>
      </c>
      <c r="O28" s="3" t="inlineStr">
        <is>
          <t>Not flagged in run 2026-10-26; owner to confirm and close</t>
        </is>
      </c>
    </row>
    <row r="29">
      <c r="A29" s="3" t="inlineStr">
        <is>
          <t>ACT-0028</t>
        </is>
      </c>
      <c r="B29" s="3" t="inlineStr">
        <is>
          <t>APAC</t>
        </is>
      </c>
      <c r="C29" s="3" t="inlineStr">
        <is>
          <t>P1</t>
        </is>
      </c>
      <c r="D29" s="3" t="inlineStr">
        <is>
          <t>STOCKOUT_RISK</t>
        </is>
      </c>
      <c r="E29" s="3" t="inlineStr">
        <is>
          <t>AP-DEV-045</t>
        </is>
      </c>
      <c r="F29" s="3" t="inlineStr">
        <is>
          <t>Supply Planner, APAC</t>
        </is>
      </c>
      <c r="G29" s="3" t="inlineStr">
        <is>
          <t>Projected stockout in week 5 of 8 (lead time 33 d, cover 8.0 d)</t>
        </is>
      </c>
      <c r="H29" s="18" t="n">
        <v>46316</v>
      </c>
      <c r="I29" s="3" t="inlineStr">
        <is>
          <t>Resolved-Verify</t>
        </is>
      </c>
      <c r="J29" s="3" t="n">
        <v>0</v>
      </c>
      <c r="K29" s="3" t="n">
        <v>0</v>
      </c>
      <c r="L29" s="18" t="n">
        <v>46314</v>
      </c>
      <c r="M29" s="18" t="n">
        <v>46314</v>
      </c>
      <c r="N29" s="3" t="inlineStr">
        <is>
          <t>exception</t>
        </is>
      </c>
      <c r="O29" s="3" t="inlineStr">
        <is>
          <t>Not flagged in run 2026-10-26; owner to confirm and close</t>
        </is>
      </c>
    </row>
    <row r="30">
      <c r="A30" s="3" t="inlineStr">
        <is>
          <t>ACT-0029</t>
        </is>
      </c>
      <c r="B30" s="3" t="inlineStr">
        <is>
          <t>India</t>
        </is>
      </c>
      <c r="C30" s="3" t="inlineStr">
        <is>
          <t>P2</t>
        </is>
      </c>
      <c r="D30" s="3" t="inlineStr">
        <is>
          <t>STOCKOUT_RISK</t>
        </is>
      </c>
      <c r="E30" s="3" t="inlineStr">
        <is>
          <t>IN-DEV-037</t>
        </is>
      </c>
      <c r="F30" s="3" t="inlineStr">
        <is>
          <t>Supply Planner, India</t>
        </is>
      </c>
      <c r="G30" s="3" t="inlineStr">
        <is>
          <t>Projected stockout in week 5 of 8 (lead time 15 d, cover 19.0 d)</t>
        </is>
      </c>
      <c r="H30" s="18" t="n">
        <v>46319</v>
      </c>
      <c r="I30" s="3" t="inlineStr">
        <is>
          <t>Resolved-Verify</t>
        </is>
      </c>
      <c r="J30" s="3" t="n">
        <v>0</v>
      </c>
      <c r="K30" s="3" t="n">
        <v>0</v>
      </c>
      <c r="L30" s="18" t="n">
        <v>46314</v>
      </c>
      <c r="M30" s="18" t="n">
        <v>46314</v>
      </c>
      <c r="N30" s="3" t="inlineStr">
        <is>
          <t>exception</t>
        </is>
      </c>
      <c r="O30" s="3" t="inlineStr">
        <is>
          <t>Not flagged in run 2026-10-26; owner to confirm and close</t>
        </is>
      </c>
    </row>
    <row r="31">
      <c r="A31" s="3" t="inlineStr">
        <is>
          <t>ACT-0030</t>
        </is>
      </c>
      <c r="B31" s="3" t="inlineStr">
        <is>
          <t>MENA-PAK</t>
        </is>
      </c>
      <c r="C31" s="3" t="inlineStr">
        <is>
          <t>P2</t>
        </is>
      </c>
      <c r="D31" s="3" t="inlineStr">
        <is>
          <t>BELOW_SAFETY</t>
        </is>
      </c>
      <c r="E31" s="3" t="inlineStr">
        <is>
          <t>MP-ACC-022</t>
        </is>
      </c>
      <c r="F31" s="3" t="inlineStr">
        <is>
          <t>Supply Planner, MENA-PAK</t>
        </is>
      </c>
      <c r="G31" s="3" t="inlineStr">
        <is>
          <t>On hand 64 is below safety stock 77</t>
        </is>
      </c>
      <c r="H31" s="18" t="n">
        <v>46319</v>
      </c>
      <c r="I31" s="3" t="inlineStr">
        <is>
          <t>Resolved-Verify</t>
        </is>
      </c>
      <c r="J31" s="3" t="n">
        <v>0</v>
      </c>
      <c r="K31" s="3" t="n">
        <v>0</v>
      </c>
      <c r="L31" s="18" t="n">
        <v>46314</v>
      </c>
      <c r="M31" s="18" t="n">
        <v>46314</v>
      </c>
      <c r="N31" s="3" t="inlineStr">
        <is>
          <t>exception</t>
        </is>
      </c>
      <c r="O31" s="3" t="inlineStr">
        <is>
          <t>Not flagged in run 2026-10-26; owner to confirm and close</t>
        </is>
      </c>
    </row>
    <row r="32">
      <c r="A32" s="3" t="inlineStr">
        <is>
          <t>ACT-0031</t>
        </is>
      </c>
      <c r="B32" s="3" t="inlineStr">
        <is>
          <t>South Africa</t>
        </is>
      </c>
      <c r="C32" s="3" t="inlineStr">
        <is>
          <t>P3</t>
        </is>
      </c>
      <c r="D32" s="3" t="inlineStr">
        <is>
          <t>EXCESS_STOCK</t>
        </is>
      </c>
      <c r="E32" s="3" t="inlineStr">
        <is>
          <t>ZA-STO-024</t>
        </is>
      </c>
      <c r="F32" s="3" t="inlineStr">
        <is>
          <t>Inventory Planner, South Africa</t>
        </is>
      </c>
      <c r="G32" s="3" t="inlineStr">
        <is>
          <t>Cover 199.0 d exceeds 120 d; excess value 96384.0</t>
        </is>
      </c>
      <c r="H32" s="18" t="n">
        <v>46324</v>
      </c>
      <c r="I32" s="3" t="inlineStr">
        <is>
          <t>Open</t>
        </is>
      </c>
      <c r="J32" s="3" t="n">
        <v>0</v>
      </c>
      <c r="K32" s="3" t="n">
        <v>0</v>
      </c>
      <c r="L32" s="18" t="n">
        <v>46314</v>
      </c>
      <c r="M32" s="18" t="n">
        <v>46321</v>
      </c>
      <c r="N32" s="3" t="inlineStr">
        <is>
          <t>exception</t>
        </is>
      </c>
      <c r="O32" s="3" t="inlineStr"/>
    </row>
    <row r="33">
      <c r="A33" s="3" t="inlineStr">
        <is>
          <t>ACT-0032</t>
        </is>
      </c>
      <c r="B33" s="3" t="inlineStr">
        <is>
          <t>India</t>
        </is>
      </c>
      <c r="C33" s="3" t="inlineStr">
        <is>
          <t>P3</t>
        </is>
      </c>
      <c r="D33" s="3" t="inlineStr">
        <is>
          <t>EXCESS_STOCK</t>
        </is>
      </c>
      <c r="E33" s="3" t="inlineStr">
        <is>
          <t>IN-DEV-025</t>
        </is>
      </c>
      <c r="F33" s="3" t="inlineStr">
        <is>
          <t>Inventory Planner, India</t>
        </is>
      </c>
      <c r="G33" s="3" t="inlineStr">
        <is>
          <t>Cover 159.0 d exceeds 120 d; excess value 230040.0</t>
        </is>
      </c>
      <c r="H33" s="18" t="n">
        <v>46324</v>
      </c>
      <c r="I33" s="3" t="inlineStr">
        <is>
          <t>Resolved-Verify</t>
        </is>
      </c>
      <c r="J33" s="3" t="n">
        <v>0</v>
      </c>
      <c r="K33" s="3" t="n">
        <v>0</v>
      </c>
      <c r="L33" s="18" t="n">
        <v>46314</v>
      </c>
      <c r="M33" s="18" t="n">
        <v>46314</v>
      </c>
      <c r="N33" s="3" t="inlineStr">
        <is>
          <t>exception</t>
        </is>
      </c>
      <c r="O33" s="3" t="inlineStr">
        <is>
          <t>Not flagged in run 2026-10-26; owner to confirm and close</t>
        </is>
      </c>
    </row>
    <row r="34">
      <c r="A34" s="3" t="inlineStr">
        <is>
          <t>ACT-0033</t>
        </is>
      </c>
      <c r="B34" s="3" t="inlineStr">
        <is>
          <t>India</t>
        </is>
      </c>
      <c r="C34" s="3" t="inlineStr">
        <is>
          <t>P3</t>
        </is>
      </c>
      <c r="D34" s="3" t="inlineStr">
        <is>
          <t>EXCESS_STOCK</t>
        </is>
      </c>
      <c r="E34" s="3" t="inlineStr">
        <is>
          <t>IN-ACC-026</t>
        </is>
      </c>
      <c r="F34" s="3" t="inlineStr">
        <is>
          <t>Inventory Planner, India</t>
        </is>
      </c>
      <c r="G34" s="3" t="inlineStr">
        <is>
          <t>Cover 225.0 d exceeds 120 d; excess value 501427.0</t>
        </is>
      </c>
      <c r="H34" s="18" t="n">
        <v>46324</v>
      </c>
      <c r="I34" s="3" t="inlineStr">
        <is>
          <t>Resolved-Verify</t>
        </is>
      </c>
      <c r="J34" s="3" t="n">
        <v>0</v>
      </c>
      <c r="K34" s="3" t="n">
        <v>0</v>
      </c>
      <c r="L34" s="18" t="n">
        <v>46314</v>
      </c>
      <c r="M34" s="18" t="n">
        <v>46314</v>
      </c>
      <c r="N34" s="3" t="inlineStr">
        <is>
          <t>exception</t>
        </is>
      </c>
      <c r="O34" s="3" t="inlineStr">
        <is>
          <t>Not flagged in run 2026-10-26; owner to confirm and close</t>
        </is>
      </c>
    </row>
    <row r="35">
      <c r="A35" s="3" t="inlineStr">
        <is>
          <t>ACT-0034</t>
        </is>
      </c>
      <c r="B35" s="3" t="inlineStr">
        <is>
          <t>MENA-PAK</t>
        </is>
      </c>
      <c r="C35" s="3" t="inlineStr">
        <is>
          <t>P3</t>
        </is>
      </c>
      <c r="D35" s="3" t="inlineStr">
        <is>
          <t>EXCESS_STOCK</t>
        </is>
      </c>
      <c r="E35" s="3" t="inlineStr">
        <is>
          <t>MP-ACC-006</t>
        </is>
      </c>
      <c r="F35" s="3" t="inlineStr">
        <is>
          <t>Inventory Planner, MENA-PAK</t>
        </is>
      </c>
      <c r="G35" s="3" t="inlineStr">
        <is>
          <t>Cover 221.0 d exceeds 120 d; excess value 132364.0</t>
        </is>
      </c>
      <c r="H35" s="18" t="n">
        <v>46324</v>
      </c>
      <c r="I35" s="3" t="inlineStr">
        <is>
          <t>Resolved-Verify</t>
        </is>
      </c>
      <c r="J35" s="3" t="n">
        <v>0</v>
      </c>
      <c r="K35" s="3" t="n">
        <v>0</v>
      </c>
      <c r="L35" s="18" t="n">
        <v>46314</v>
      </c>
      <c r="M35" s="18" t="n">
        <v>46314</v>
      </c>
      <c r="N35" s="3" t="inlineStr">
        <is>
          <t>exception</t>
        </is>
      </c>
      <c r="O35" s="3" t="inlineStr">
        <is>
          <t>Not flagged in run 2026-10-26; owner to confirm and close</t>
        </is>
      </c>
    </row>
    <row r="36">
      <c r="A36" s="3" t="inlineStr">
        <is>
          <t>ACT-0035</t>
        </is>
      </c>
      <c r="B36" s="3" t="inlineStr">
        <is>
          <t>APAC</t>
        </is>
      </c>
      <c r="C36" s="3" t="inlineStr">
        <is>
          <t>P3</t>
        </is>
      </c>
      <c r="D36" s="3" t="inlineStr">
        <is>
          <t>EXCESS_STOCK</t>
        </is>
      </c>
      <c r="E36" s="3" t="inlineStr">
        <is>
          <t>AP-NET-011</t>
        </is>
      </c>
      <c r="F36" s="3" t="inlineStr">
        <is>
          <t>Inventory Planner, APAC</t>
        </is>
      </c>
      <c r="G36" s="3" t="inlineStr">
        <is>
          <t>Cover 263.0 d exceeds 120 d; excess value 930167.0</t>
        </is>
      </c>
      <c r="H36" s="18" t="n">
        <v>46324</v>
      </c>
      <c r="I36" s="3" t="inlineStr">
        <is>
          <t>Resolved-Verify</t>
        </is>
      </c>
      <c r="J36" s="3" t="n">
        <v>0</v>
      </c>
      <c r="K36" s="3" t="n">
        <v>0</v>
      </c>
      <c r="L36" s="18" t="n">
        <v>46314</v>
      </c>
      <c r="M36" s="18" t="n">
        <v>46314</v>
      </c>
      <c r="N36" s="3" t="inlineStr">
        <is>
          <t>exception</t>
        </is>
      </c>
      <c r="O36" s="3" t="inlineStr">
        <is>
          <t>Not flagged in run 2026-10-26; owner to confirm and close</t>
        </is>
      </c>
    </row>
    <row r="37">
      <c r="A37" s="3" t="inlineStr">
        <is>
          <t>ACT-0036</t>
        </is>
      </c>
      <c r="B37" s="3" t="inlineStr">
        <is>
          <t>APAC</t>
        </is>
      </c>
      <c r="C37" s="3" t="inlineStr">
        <is>
          <t>P3</t>
        </is>
      </c>
      <c r="D37" s="3" t="inlineStr">
        <is>
          <t>EXCESS_STOCK</t>
        </is>
      </c>
      <c r="E37" s="3" t="inlineStr">
        <is>
          <t>AP-NET-003</t>
        </is>
      </c>
      <c r="F37" s="3" t="inlineStr">
        <is>
          <t>Inventory Planner, APAC</t>
        </is>
      </c>
      <c r="G37" s="3" t="inlineStr">
        <is>
          <t>Cover 216.0 d exceeds 120 d; excess value 1197864.0</t>
        </is>
      </c>
      <c r="H37" s="18" t="n">
        <v>46324</v>
      </c>
      <c r="I37" s="3" t="inlineStr">
        <is>
          <t>Resolved-Verify</t>
        </is>
      </c>
      <c r="J37" s="3" t="n">
        <v>0</v>
      </c>
      <c r="K37" s="3" t="n">
        <v>0</v>
      </c>
      <c r="L37" s="18" t="n">
        <v>46314</v>
      </c>
      <c r="M37" s="18" t="n">
        <v>46314</v>
      </c>
      <c r="N37" s="3" t="inlineStr">
        <is>
          <t>exception</t>
        </is>
      </c>
      <c r="O37" s="3" t="inlineStr">
        <is>
          <t>Not flagged in run 2026-10-26; owner to confirm and close</t>
        </is>
      </c>
    </row>
    <row r="38">
      <c r="A38" s="3" t="inlineStr">
        <is>
          <t>ACT-0037</t>
        </is>
      </c>
      <c r="B38" s="3" t="inlineStr">
        <is>
          <t>APAC</t>
        </is>
      </c>
      <c r="C38" s="3" t="inlineStr">
        <is>
          <t>P3</t>
        </is>
      </c>
      <c r="D38" s="3" t="inlineStr">
        <is>
          <t>EXCESS_STOCK</t>
        </is>
      </c>
      <c r="E38" s="3" t="inlineStr">
        <is>
          <t>AP-DEV-021</t>
        </is>
      </c>
      <c r="F38" s="3" t="inlineStr">
        <is>
          <t>Inventory Planner, APAC</t>
        </is>
      </c>
      <c r="G38" s="3" t="inlineStr">
        <is>
          <t>Cover 243.0 d exceeds 120 d; excess value 978066.0</t>
        </is>
      </c>
      <c r="H38" s="18" t="n">
        <v>46324</v>
      </c>
      <c r="I38" s="3" t="inlineStr">
        <is>
          <t>Resolved-Verify</t>
        </is>
      </c>
      <c r="J38" s="3" t="n">
        <v>0</v>
      </c>
      <c r="K38" s="3" t="n">
        <v>0</v>
      </c>
      <c r="L38" s="18" t="n">
        <v>46314</v>
      </c>
      <c r="M38" s="18" t="n">
        <v>46314</v>
      </c>
      <c r="N38" s="3" t="inlineStr">
        <is>
          <t>exception</t>
        </is>
      </c>
      <c r="O38" s="3" t="inlineStr">
        <is>
          <t>Not flagged in run 2026-10-26; owner to confirm and close</t>
        </is>
      </c>
    </row>
    <row r="39">
      <c r="A39" s="3" t="inlineStr">
        <is>
          <t>ACT-0038</t>
        </is>
      </c>
      <c r="B39" s="3" t="inlineStr">
        <is>
          <t>APAC</t>
        </is>
      </c>
      <c r="C39" s="3" t="inlineStr">
        <is>
          <t>P3</t>
        </is>
      </c>
      <c r="D39" s="3" t="inlineStr">
        <is>
          <t>EXCESS_STOCK</t>
        </is>
      </c>
      <c r="E39" s="3" t="inlineStr">
        <is>
          <t>AP-NET-027</t>
        </is>
      </c>
      <c r="F39" s="3" t="inlineStr">
        <is>
          <t>Inventory Planner, APAC</t>
        </is>
      </c>
      <c r="G39" s="3" t="inlineStr">
        <is>
          <t>Cover 130.0 d exceeds 120 d; excess value 11866.0</t>
        </is>
      </c>
      <c r="H39" s="18" t="n">
        <v>46324</v>
      </c>
      <c r="I39" s="3" t="inlineStr">
        <is>
          <t>Resolved-Verify</t>
        </is>
      </c>
      <c r="J39" s="3" t="n">
        <v>0</v>
      </c>
      <c r="K39" s="3" t="n">
        <v>0</v>
      </c>
      <c r="L39" s="18" t="n">
        <v>46314</v>
      </c>
      <c r="M39" s="18" t="n">
        <v>46314</v>
      </c>
      <c r="N39" s="3" t="inlineStr">
        <is>
          <t>exception</t>
        </is>
      </c>
      <c r="O39" s="3" t="inlineStr">
        <is>
          <t>Not flagged in run 2026-10-26; owner to confirm and close</t>
        </is>
      </c>
    </row>
    <row r="40">
      <c r="A40" s="3" t="inlineStr">
        <is>
          <t>ACT-0039</t>
        </is>
      </c>
      <c r="B40" s="3" t="inlineStr">
        <is>
          <t>APAC</t>
        </is>
      </c>
      <c r="C40" s="3" t="inlineStr">
        <is>
          <t>P3</t>
        </is>
      </c>
      <c r="D40" s="3" t="inlineStr">
        <is>
          <t>EXCESS_STOCK</t>
        </is>
      </c>
      <c r="E40" s="3" t="inlineStr">
        <is>
          <t>AP-NET-035</t>
        </is>
      </c>
      <c r="F40" s="3" t="inlineStr">
        <is>
          <t>Inventory Planner, APAC</t>
        </is>
      </c>
      <c r="G40" s="3" t="inlineStr">
        <is>
          <t>Cover 230.0 d exceeds 120 d; excess value 730735.0</t>
        </is>
      </c>
      <c r="H40" s="18" t="n">
        <v>46324</v>
      </c>
      <c r="I40" s="3" t="inlineStr">
        <is>
          <t>Resolved-Verify</t>
        </is>
      </c>
      <c r="J40" s="3" t="n">
        <v>0</v>
      </c>
      <c r="K40" s="3" t="n">
        <v>0</v>
      </c>
      <c r="L40" s="18" t="n">
        <v>46314</v>
      </c>
      <c r="M40" s="18" t="n">
        <v>46314</v>
      </c>
      <c r="N40" s="3" t="inlineStr">
        <is>
          <t>exception</t>
        </is>
      </c>
      <c r="O40" s="3" t="inlineStr">
        <is>
          <t>Not flagged in run 2026-10-26; owner to confirm and close</t>
        </is>
      </c>
    </row>
    <row r="41">
      <c r="A41" s="3" t="inlineStr">
        <is>
          <t>ACT-0040</t>
        </is>
      </c>
      <c r="B41" s="3" t="inlineStr">
        <is>
          <t>MENA-PAK</t>
        </is>
      </c>
      <c r="C41" s="3" t="inlineStr">
        <is>
          <t>P3</t>
        </is>
      </c>
      <c r="D41" s="3" t="inlineStr">
        <is>
          <t>EXCESS_STOCK</t>
        </is>
      </c>
      <c r="E41" s="3" t="inlineStr">
        <is>
          <t>MP-DEV-025</t>
        </is>
      </c>
      <c r="F41" s="3" t="inlineStr">
        <is>
          <t>Inventory Planner, MENA-PAK</t>
        </is>
      </c>
      <c r="G41" s="3" t="inlineStr">
        <is>
          <t>Cover 171.0 d exceeds 120 d; excess value 211053.0</t>
        </is>
      </c>
      <c r="H41" s="18" t="n">
        <v>46324</v>
      </c>
      <c r="I41" s="3" t="inlineStr">
        <is>
          <t>Resolved-Verify</t>
        </is>
      </c>
      <c r="J41" s="3" t="n">
        <v>0</v>
      </c>
      <c r="K41" s="3" t="n">
        <v>0</v>
      </c>
      <c r="L41" s="18" t="n">
        <v>46314</v>
      </c>
      <c r="M41" s="18" t="n">
        <v>46314</v>
      </c>
      <c r="N41" s="3" t="inlineStr">
        <is>
          <t>exception</t>
        </is>
      </c>
      <c r="O41" s="3" t="inlineStr">
        <is>
          <t>Not flagged in run 2026-10-26; owner to confirm and close</t>
        </is>
      </c>
    </row>
    <row r="42">
      <c r="A42" s="3" t="inlineStr">
        <is>
          <t>ACT-0041</t>
        </is>
      </c>
      <c r="B42" s="3" t="inlineStr">
        <is>
          <t>APAC</t>
        </is>
      </c>
      <c r="C42" s="3" t="inlineStr">
        <is>
          <t>P3</t>
        </is>
      </c>
      <c r="D42" s="3" t="inlineStr">
        <is>
          <t>EXCESS_STOCK</t>
        </is>
      </c>
      <c r="E42" s="3" t="inlineStr">
        <is>
          <t>AP-STO-040</t>
        </is>
      </c>
      <c r="F42" s="3" t="inlineStr">
        <is>
          <t>Inventory Planner, APAC</t>
        </is>
      </c>
      <c r="G42" s="3" t="inlineStr">
        <is>
          <t>Cover 149.0 d exceeds 120 d; excess value 162936.0</t>
        </is>
      </c>
      <c r="H42" s="18" t="n">
        <v>46324</v>
      </c>
      <c r="I42" s="3" t="inlineStr">
        <is>
          <t>Resolved-Verify</t>
        </is>
      </c>
      <c r="J42" s="3" t="n">
        <v>0</v>
      </c>
      <c r="K42" s="3" t="n">
        <v>0</v>
      </c>
      <c r="L42" s="18" t="n">
        <v>46314</v>
      </c>
      <c r="M42" s="18" t="n">
        <v>46314</v>
      </c>
      <c r="N42" s="3" t="inlineStr">
        <is>
          <t>exception</t>
        </is>
      </c>
      <c r="O42" s="3" t="inlineStr">
        <is>
          <t>Not flagged in run 2026-10-26; owner to confirm and close</t>
        </is>
      </c>
    </row>
    <row r="43">
      <c r="A43" s="3" t="inlineStr">
        <is>
          <t>ACT-0042</t>
        </is>
      </c>
      <c r="B43" s="3" t="inlineStr">
        <is>
          <t>India</t>
        </is>
      </c>
      <c r="C43" s="3" t="inlineStr">
        <is>
          <t>P3</t>
        </is>
      </c>
      <c r="D43" s="3" t="inlineStr">
        <is>
          <t>EXCESS_STOCK</t>
        </is>
      </c>
      <c r="E43" s="3" t="inlineStr">
        <is>
          <t>IN-DEV-033</t>
        </is>
      </c>
      <c r="F43" s="3" t="inlineStr">
        <is>
          <t>Inventory Planner, India</t>
        </is>
      </c>
      <c r="G43" s="3" t="inlineStr">
        <is>
          <t>Cover 139.0 d exceeds 120 d; excess value 32221.0</t>
        </is>
      </c>
      <c r="H43" s="18" t="n">
        <v>46324</v>
      </c>
      <c r="I43" s="3" t="inlineStr">
        <is>
          <t>Resolved-Verify</t>
        </is>
      </c>
      <c r="J43" s="3" t="n">
        <v>0</v>
      </c>
      <c r="K43" s="3" t="n">
        <v>0</v>
      </c>
      <c r="L43" s="18" t="n">
        <v>46314</v>
      </c>
      <c r="M43" s="18" t="n">
        <v>46314</v>
      </c>
      <c r="N43" s="3" t="inlineStr">
        <is>
          <t>exception</t>
        </is>
      </c>
      <c r="O43" s="3" t="inlineStr">
        <is>
          <t>Not flagged in run 2026-10-26; owner to confirm and close</t>
        </is>
      </c>
    </row>
    <row r="44">
      <c r="A44" s="3" t="inlineStr">
        <is>
          <t>ACT-0043</t>
        </is>
      </c>
      <c r="B44" s="3" t="inlineStr">
        <is>
          <t>APAC</t>
        </is>
      </c>
      <c r="C44" s="3" t="inlineStr">
        <is>
          <t>P3</t>
        </is>
      </c>
      <c r="D44" s="3" t="inlineStr">
        <is>
          <t>EXCESS_STOCK</t>
        </is>
      </c>
      <c r="E44" s="3" t="inlineStr">
        <is>
          <t>AP-NET-007</t>
        </is>
      </c>
      <c r="F44" s="3" t="inlineStr">
        <is>
          <t>Inventory Planner, APAC</t>
        </is>
      </c>
      <c r="G44" s="3" t="inlineStr">
        <is>
          <t>Cover 145.0 d exceeds 120 d; excess value 49314.0</t>
        </is>
      </c>
      <c r="H44" s="18" t="n">
        <v>46324</v>
      </c>
      <c r="I44" s="3" t="inlineStr">
        <is>
          <t>Resolved-Verify</t>
        </is>
      </c>
      <c r="J44" s="3" t="n">
        <v>0</v>
      </c>
      <c r="K44" s="3" t="n">
        <v>0</v>
      </c>
      <c r="L44" s="18" t="n">
        <v>46314</v>
      </c>
      <c r="M44" s="18" t="n">
        <v>46314</v>
      </c>
      <c r="N44" s="3" t="inlineStr">
        <is>
          <t>exception</t>
        </is>
      </c>
      <c r="O44" s="3" t="inlineStr">
        <is>
          <t>Not flagged in run 2026-10-26; owner to confirm and close</t>
        </is>
      </c>
    </row>
    <row r="45">
      <c r="A45" s="3" t="inlineStr">
        <is>
          <t>ACT-0044</t>
        </is>
      </c>
      <c r="B45" s="3" t="inlineStr">
        <is>
          <t>India</t>
        </is>
      </c>
      <c r="C45" s="3" t="inlineStr">
        <is>
          <t>P3</t>
        </is>
      </c>
      <c r="D45" s="3" t="inlineStr">
        <is>
          <t>EXCESS_STOCK</t>
        </is>
      </c>
      <c r="E45" s="3" t="inlineStr">
        <is>
          <t>IN-ACC-030</t>
        </is>
      </c>
      <c r="F45" s="3" t="inlineStr">
        <is>
          <t>Inventory Planner, India</t>
        </is>
      </c>
      <c r="G45" s="3" t="inlineStr">
        <is>
          <t>Cover 189.0 d exceeds 120 d; excess value 128818.0</t>
        </is>
      </c>
      <c r="H45" s="18" t="n">
        <v>46324</v>
      </c>
      <c r="I45" s="3" t="inlineStr">
        <is>
          <t>Open</t>
        </is>
      </c>
      <c r="J45" s="3" t="n">
        <v>0</v>
      </c>
      <c r="K45" s="3" t="n">
        <v>0</v>
      </c>
      <c r="L45" s="18" t="n">
        <v>46314</v>
      </c>
      <c r="M45" s="18" t="n">
        <v>46321</v>
      </c>
      <c r="N45" s="3" t="inlineStr">
        <is>
          <t>exception</t>
        </is>
      </c>
      <c r="O45" s="3" t="inlineStr"/>
    </row>
    <row r="46">
      <c r="A46" s="3" t="inlineStr">
        <is>
          <t>ACT-0045</t>
        </is>
      </c>
      <c r="B46" s="3" t="inlineStr">
        <is>
          <t>India</t>
        </is>
      </c>
      <c r="C46" s="3" t="inlineStr">
        <is>
          <t>P2</t>
        </is>
      </c>
      <c r="D46" s="3" t="inlineStr">
        <is>
          <t>FORECAST_BIAS</t>
        </is>
      </c>
      <c r="E46" s="3" t="inlineStr">
        <is>
          <t>IN-NET-035</t>
        </is>
      </c>
      <c r="F46" s="3" t="inlineStr">
        <is>
          <t>Demand Planner, India</t>
        </is>
      </c>
      <c r="G46" s="3" t="inlineStr">
        <is>
          <t>Bias 52.0% over last 8 weeks (WAPE 52.0%)</t>
        </is>
      </c>
      <c r="H46" s="18" t="n">
        <v>46319</v>
      </c>
      <c r="I46" s="3" t="inlineStr">
        <is>
          <t>Resolved-Verify</t>
        </is>
      </c>
      <c r="J46" s="3" t="n">
        <v>0</v>
      </c>
      <c r="K46" s="3" t="n">
        <v>0</v>
      </c>
      <c r="L46" s="18" t="n">
        <v>46314</v>
      </c>
      <c r="M46" s="18" t="n">
        <v>46314</v>
      </c>
      <c r="N46" s="3" t="inlineStr">
        <is>
          <t>exception</t>
        </is>
      </c>
      <c r="O46" s="3" t="inlineStr">
        <is>
          <t>Not flagged in run 2026-10-26; owner to confirm and close</t>
        </is>
      </c>
    </row>
    <row r="47">
      <c r="A47" s="3" t="inlineStr">
        <is>
          <t>ACT-0046</t>
        </is>
      </c>
      <c r="B47" s="3" t="inlineStr">
        <is>
          <t>MENA-PAK</t>
        </is>
      </c>
      <c r="C47" s="3" t="inlineStr">
        <is>
          <t>P2</t>
        </is>
      </c>
      <c r="D47" s="3" t="inlineStr">
        <is>
          <t>FORECAST_BIAS</t>
        </is>
      </c>
      <c r="E47" s="3" t="inlineStr">
        <is>
          <t>MP-ACC-018</t>
        </is>
      </c>
      <c r="F47" s="3" t="inlineStr">
        <is>
          <t>Demand Planner, MENA-PAK</t>
        </is>
      </c>
      <c r="G47" s="3" t="inlineStr">
        <is>
          <t>Bias -35.0% over last 8 weeks (WAPE 35.0%)</t>
        </is>
      </c>
      <c r="H47" s="18" t="n">
        <v>46319</v>
      </c>
      <c r="I47" s="3" t="inlineStr">
        <is>
          <t>Resolved-Verify</t>
        </is>
      </c>
      <c r="J47" s="3" t="n">
        <v>0</v>
      </c>
      <c r="K47" s="3" t="n">
        <v>0</v>
      </c>
      <c r="L47" s="18" t="n">
        <v>46314</v>
      </c>
      <c r="M47" s="18" t="n">
        <v>46314</v>
      </c>
      <c r="N47" s="3" t="inlineStr">
        <is>
          <t>exception</t>
        </is>
      </c>
      <c r="O47" s="3" t="inlineStr">
        <is>
          <t>Not flagged in run 2026-10-26; owner to confirm and close</t>
        </is>
      </c>
    </row>
    <row r="48">
      <c r="A48" s="3" t="inlineStr">
        <is>
          <t>ACT-0047</t>
        </is>
      </c>
      <c r="B48" s="3" t="inlineStr">
        <is>
          <t>MENA-PAK</t>
        </is>
      </c>
      <c r="C48" s="3" t="inlineStr">
        <is>
          <t>P2</t>
        </is>
      </c>
      <c r="D48" s="3" t="inlineStr">
        <is>
          <t>FORECAST_BIAS</t>
        </is>
      </c>
      <c r="E48" s="3" t="inlineStr">
        <is>
          <t>MP-NET-035</t>
        </is>
      </c>
      <c r="F48" s="3" t="inlineStr">
        <is>
          <t>Demand Planner, MENA-PAK</t>
        </is>
      </c>
      <c r="G48" s="3" t="inlineStr">
        <is>
          <t>Bias -42.0% over last 8 weeks (WAPE 43.0%)</t>
        </is>
      </c>
      <c r="H48" s="18" t="n">
        <v>46319</v>
      </c>
      <c r="I48" s="3" t="inlineStr">
        <is>
          <t>Resolved-Verify</t>
        </is>
      </c>
      <c r="J48" s="3" t="n">
        <v>0</v>
      </c>
      <c r="K48" s="3" t="n">
        <v>0</v>
      </c>
      <c r="L48" s="18" t="n">
        <v>46314</v>
      </c>
      <c r="M48" s="18" t="n">
        <v>46314</v>
      </c>
      <c r="N48" s="3" t="inlineStr">
        <is>
          <t>exception</t>
        </is>
      </c>
      <c r="O48" s="3" t="inlineStr">
        <is>
          <t>Not flagged in run 2026-10-26; owner to confirm and close</t>
        </is>
      </c>
    </row>
    <row r="49">
      <c r="A49" s="3" t="inlineStr">
        <is>
          <t>ACT-0048</t>
        </is>
      </c>
      <c r="B49" s="3" t="inlineStr">
        <is>
          <t>MENA-PAK</t>
        </is>
      </c>
      <c r="C49" s="3" t="inlineStr">
        <is>
          <t>P2</t>
        </is>
      </c>
      <c r="D49" s="3" t="inlineStr">
        <is>
          <t>FORECAST_BIAS</t>
        </is>
      </c>
      <c r="E49" s="3" t="inlineStr">
        <is>
          <t>MP-STO-008</t>
        </is>
      </c>
      <c r="F49" s="3" t="inlineStr">
        <is>
          <t>Demand Planner, MENA-PAK</t>
        </is>
      </c>
      <c r="G49" s="3" t="inlineStr">
        <is>
          <t>Bias 27.0% over last 8 weeks (WAPE 34.0%)</t>
        </is>
      </c>
      <c r="H49" s="18" t="n">
        <v>46319</v>
      </c>
      <c r="I49" s="3" t="inlineStr">
        <is>
          <t>Resolved-Verify</t>
        </is>
      </c>
      <c r="J49" s="3" t="n">
        <v>0</v>
      </c>
      <c r="K49" s="3" t="n">
        <v>0</v>
      </c>
      <c r="L49" s="18" t="n">
        <v>46314</v>
      </c>
      <c r="M49" s="18" t="n">
        <v>46314</v>
      </c>
      <c r="N49" s="3" t="inlineStr">
        <is>
          <t>exception</t>
        </is>
      </c>
      <c r="O49" s="3" t="inlineStr">
        <is>
          <t>Not flagged in run 2026-10-26; owner to confirm and close</t>
        </is>
      </c>
    </row>
    <row r="50">
      <c r="A50" s="3" t="inlineStr">
        <is>
          <t>ACT-0049</t>
        </is>
      </c>
      <c r="B50" s="3" t="inlineStr">
        <is>
          <t>South Africa</t>
        </is>
      </c>
      <c r="C50" s="3" t="inlineStr">
        <is>
          <t>P2</t>
        </is>
      </c>
      <c r="D50" s="3" t="inlineStr">
        <is>
          <t>FORECAST_BIAS</t>
        </is>
      </c>
      <c r="E50" s="3" t="inlineStr">
        <is>
          <t>ZA-ACC-006</t>
        </is>
      </c>
      <c r="F50" s="3" t="inlineStr">
        <is>
          <t>Demand Planner, South Africa</t>
        </is>
      </c>
      <c r="G50" s="3" t="inlineStr">
        <is>
          <t>Bias 37.0% over last 8 weeks (WAPE 41.0%)</t>
        </is>
      </c>
      <c r="H50" s="18" t="n">
        <v>46319</v>
      </c>
      <c r="I50" s="3" t="inlineStr">
        <is>
          <t>Resolved-Verify</t>
        </is>
      </c>
      <c r="J50" s="3" t="n">
        <v>0</v>
      </c>
      <c r="K50" s="3" t="n">
        <v>0</v>
      </c>
      <c r="L50" s="18" t="n">
        <v>46314</v>
      </c>
      <c r="M50" s="18" t="n">
        <v>46314</v>
      </c>
      <c r="N50" s="3" t="inlineStr">
        <is>
          <t>exception</t>
        </is>
      </c>
      <c r="O50" s="3" t="inlineStr">
        <is>
          <t>Not flagged in run 2026-10-26; owner to confirm and close</t>
        </is>
      </c>
    </row>
    <row r="51">
      <c r="A51" s="3" t="inlineStr">
        <is>
          <t>ACT-0050</t>
        </is>
      </c>
      <c r="B51" s="3" t="inlineStr">
        <is>
          <t>South Africa</t>
        </is>
      </c>
      <c r="C51" s="3" t="inlineStr">
        <is>
          <t>P2</t>
        </is>
      </c>
      <c r="D51" s="3" t="inlineStr">
        <is>
          <t>FORECAST_BIAS</t>
        </is>
      </c>
      <c r="E51" s="3" t="inlineStr">
        <is>
          <t>ZA-ACC-018</t>
        </is>
      </c>
      <c r="F51" s="3" t="inlineStr">
        <is>
          <t>Demand Planner, South Africa</t>
        </is>
      </c>
      <c r="G51" s="3" t="inlineStr">
        <is>
          <t>Bias 28.0% over last 8 weeks (WAPE 28.0%)</t>
        </is>
      </c>
      <c r="H51" s="18" t="n">
        <v>46319</v>
      </c>
      <c r="I51" s="3" t="inlineStr">
        <is>
          <t>Resolved-Verify</t>
        </is>
      </c>
      <c r="J51" s="3" t="n">
        <v>0</v>
      </c>
      <c r="K51" s="3" t="n">
        <v>0</v>
      </c>
      <c r="L51" s="18" t="n">
        <v>46314</v>
      </c>
      <c r="M51" s="18" t="n">
        <v>46314</v>
      </c>
      <c r="N51" s="3" t="inlineStr">
        <is>
          <t>exception</t>
        </is>
      </c>
      <c r="O51" s="3" t="inlineStr">
        <is>
          <t>Not flagged in run 2026-10-26; owner to confirm and close</t>
        </is>
      </c>
    </row>
    <row r="52">
      <c r="A52" s="3" t="inlineStr">
        <is>
          <t>ACT-0051</t>
        </is>
      </c>
      <c r="B52" s="3" t="inlineStr">
        <is>
          <t>South Africa</t>
        </is>
      </c>
      <c r="C52" s="3" t="inlineStr">
        <is>
          <t>P2</t>
        </is>
      </c>
      <c r="D52" s="3" t="inlineStr">
        <is>
          <t>FORECAST_BIAS</t>
        </is>
      </c>
      <c r="E52" s="3" t="inlineStr">
        <is>
          <t>ZA-DEV-029</t>
        </is>
      </c>
      <c r="F52" s="3" t="inlineStr">
        <is>
          <t>Demand Planner, South Africa</t>
        </is>
      </c>
      <c r="G52" s="3" t="inlineStr">
        <is>
          <t>Bias -27.0% over last 8 weeks (WAPE 28.0%)</t>
        </is>
      </c>
      <c r="H52" s="18" t="n">
        <v>46319</v>
      </c>
      <c r="I52" s="3" t="inlineStr">
        <is>
          <t>Resolved-Verify</t>
        </is>
      </c>
      <c r="J52" s="3" t="n">
        <v>0</v>
      </c>
      <c r="K52" s="3" t="n">
        <v>0</v>
      </c>
      <c r="L52" s="18" t="n">
        <v>46314</v>
      </c>
      <c r="M52" s="18" t="n">
        <v>46314</v>
      </c>
      <c r="N52" s="3" t="inlineStr">
        <is>
          <t>exception</t>
        </is>
      </c>
      <c r="O52" s="3" t="inlineStr">
        <is>
          <t>Not flagged in run 2026-10-26; owner to confirm and close</t>
        </is>
      </c>
    </row>
    <row r="53">
      <c r="A53" s="3" t="inlineStr">
        <is>
          <t>ACT-0052</t>
        </is>
      </c>
      <c r="B53" s="3" t="inlineStr">
        <is>
          <t>MENA-PAK</t>
        </is>
      </c>
      <c r="C53" s="3" t="inlineStr">
        <is>
          <t>P2</t>
        </is>
      </c>
      <c r="D53" s="3" t="inlineStr">
        <is>
          <t>FORECAST_BIAS</t>
        </is>
      </c>
      <c r="E53" s="3" t="inlineStr">
        <is>
          <t>MP-NET-031</t>
        </is>
      </c>
      <c r="F53" s="3" t="inlineStr">
        <is>
          <t>Demand Planner, MENA-PAK</t>
        </is>
      </c>
      <c r="G53" s="3" t="inlineStr">
        <is>
          <t>Bias 21.0% over last 8 weeks (WAPE 26.0%)</t>
        </is>
      </c>
      <c r="H53" s="18" t="n">
        <v>46319</v>
      </c>
      <c r="I53" s="3" t="inlineStr">
        <is>
          <t>Resolved-Verify</t>
        </is>
      </c>
      <c r="J53" s="3" t="n">
        <v>0</v>
      </c>
      <c r="K53" s="3" t="n">
        <v>0</v>
      </c>
      <c r="L53" s="18" t="n">
        <v>46314</v>
      </c>
      <c r="M53" s="18" t="n">
        <v>46314</v>
      </c>
      <c r="N53" s="3" t="inlineStr">
        <is>
          <t>exception</t>
        </is>
      </c>
      <c r="O53" s="3" t="inlineStr">
        <is>
          <t>Not flagged in run 2026-10-26; owner to confirm and close</t>
        </is>
      </c>
    </row>
    <row r="54">
      <c r="A54" s="3" t="inlineStr">
        <is>
          <t>ACT-0053</t>
        </is>
      </c>
      <c r="B54" s="3" t="inlineStr">
        <is>
          <t>South Africa</t>
        </is>
      </c>
      <c r="C54" s="3" t="inlineStr">
        <is>
          <t>P2</t>
        </is>
      </c>
      <c r="D54" s="3" t="inlineStr">
        <is>
          <t>FORECAST_BIAS</t>
        </is>
      </c>
      <c r="E54" s="3" t="inlineStr">
        <is>
          <t>ZA-DEV-025</t>
        </is>
      </c>
      <c r="F54" s="3" t="inlineStr">
        <is>
          <t>Demand Planner, South Africa</t>
        </is>
      </c>
      <c r="G54" s="3" t="inlineStr">
        <is>
          <t>Bias 31.0% over last 8 weeks (WAPE 35.0%)</t>
        </is>
      </c>
      <c r="H54" s="18" t="n">
        <v>46319</v>
      </c>
      <c r="I54" s="3" t="inlineStr">
        <is>
          <t>Resolved-Verify</t>
        </is>
      </c>
      <c r="J54" s="3" t="n">
        <v>0</v>
      </c>
      <c r="K54" s="3" t="n">
        <v>0</v>
      </c>
      <c r="L54" s="18" t="n">
        <v>46314</v>
      </c>
      <c r="M54" s="18" t="n">
        <v>46314</v>
      </c>
      <c r="N54" s="3" t="inlineStr">
        <is>
          <t>exception</t>
        </is>
      </c>
      <c r="O54" s="3" t="inlineStr">
        <is>
          <t>Not flagged in run 2026-10-26; owner to confirm and close</t>
        </is>
      </c>
    </row>
    <row r="55">
      <c r="A55" s="3" t="inlineStr">
        <is>
          <t>ACT-0054</t>
        </is>
      </c>
      <c r="B55" s="3" t="inlineStr">
        <is>
          <t>India</t>
        </is>
      </c>
      <c r="C55" s="3" t="inlineStr">
        <is>
          <t>P2</t>
        </is>
      </c>
      <c r="D55" s="3" t="inlineStr">
        <is>
          <t>FORECAST_BIAS</t>
        </is>
      </c>
      <c r="E55" s="3" t="inlineStr">
        <is>
          <t>IN-DEV-005</t>
        </is>
      </c>
      <c r="F55" s="3" t="inlineStr">
        <is>
          <t>Demand Planner, India</t>
        </is>
      </c>
      <c r="G55" s="3" t="inlineStr">
        <is>
          <t>Bias 29.0% over last 8 weeks (WAPE 29.0%)</t>
        </is>
      </c>
      <c r="H55" s="18" t="n">
        <v>46319</v>
      </c>
      <c r="I55" s="3" t="inlineStr">
        <is>
          <t>Open</t>
        </is>
      </c>
      <c r="J55" s="3" t="n">
        <v>2</v>
      </c>
      <c r="K55" s="3" t="n">
        <v>1</v>
      </c>
      <c r="L55" s="18" t="n">
        <v>46314</v>
      </c>
      <c r="M55" s="18" t="n">
        <v>46321</v>
      </c>
      <c r="N55" s="3" t="inlineStr">
        <is>
          <t>exception</t>
        </is>
      </c>
      <c r="O55" s="3" t="inlineStr"/>
    </row>
    <row r="56">
      <c r="A56" s="3" t="inlineStr">
        <is>
          <t>ACT-0055</t>
        </is>
      </c>
      <c r="B56" s="3" t="inlineStr">
        <is>
          <t>South Africa</t>
        </is>
      </c>
      <c r="C56" s="3" t="inlineStr">
        <is>
          <t>P2</t>
        </is>
      </c>
      <c r="D56" s="3" t="inlineStr">
        <is>
          <t>FORECAST_BIAS</t>
        </is>
      </c>
      <c r="E56" s="3" t="inlineStr">
        <is>
          <t>ZA-NET-027</t>
        </is>
      </c>
      <c r="F56" s="3" t="inlineStr">
        <is>
          <t>Demand Planner, South Africa</t>
        </is>
      </c>
      <c r="G56" s="3" t="inlineStr">
        <is>
          <t>Bias 22.0% over last 8 weeks (WAPE 31.0%)</t>
        </is>
      </c>
      <c r="H56" s="18" t="n">
        <v>46319</v>
      </c>
      <c r="I56" s="3" t="inlineStr">
        <is>
          <t>Resolved-Verify</t>
        </is>
      </c>
      <c r="J56" s="3" t="n">
        <v>0</v>
      </c>
      <c r="K56" s="3" t="n">
        <v>0</v>
      </c>
      <c r="L56" s="18" t="n">
        <v>46314</v>
      </c>
      <c r="M56" s="18" t="n">
        <v>46314</v>
      </c>
      <c r="N56" s="3" t="inlineStr">
        <is>
          <t>exception</t>
        </is>
      </c>
      <c r="O56" s="3" t="inlineStr">
        <is>
          <t>Not flagged in run 2026-10-26; owner to confirm and close</t>
        </is>
      </c>
    </row>
    <row r="57">
      <c r="A57" s="3" t="inlineStr">
        <is>
          <t>ACT-0056</t>
        </is>
      </c>
      <c r="B57" s="3" t="inlineStr">
        <is>
          <t>APAC</t>
        </is>
      </c>
      <c r="C57" s="3" t="inlineStr">
        <is>
          <t>P2</t>
        </is>
      </c>
      <c r="D57" s="3" t="inlineStr">
        <is>
          <t>FORECAST_BIAS</t>
        </is>
      </c>
      <c r="E57" s="3" t="inlineStr">
        <is>
          <t>AP-ACC-022</t>
        </is>
      </c>
      <c r="F57" s="3" t="inlineStr">
        <is>
          <t>Demand Planner, APAC</t>
        </is>
      </c>
      <c r="G57" s="3" t="inlineStr">
        <is>
          <t>Bias 39.0% over last 8 weeks (WAPE 39.0%)</t>
        </is>
      </c>
      <c r="H57" s="18" t="n">
        <v>46319</v>
      </c>
      <c r="I57" s="3" t="inlineStr">
        <is>
          <t>Open</t>
        </is>
      </c>
      <c r="J57" s="3" t="n">
        <v>2</v>
      </c>
      <c r="K57" s="3" t="n">
        <v>1</v>
      </c>
      <c r="L57" s="18" t="n">
        <v>46314</v>
      </c>
      <c r="M57" s="18" t="n">
        <v>46321</v>
      </c>
      <c r="N57" s="3" t="inlineStr">
        <is>
          <t>exception</t>
        </is>
      </c>
      <c r="O57" s="3" t="inlineStr"/>
    </row>
    <row r="58">
      <c r="A58" s="3" t="inlineStr">
        <is>
          <t>ACT-0057</t>
        </is>
      </c>
      <c r="B58" s="3" t="inlineStr">
        <is>
          <t>APAC</t>
        </is>
      </c>
      <c r="C58" s="3" t="inlineStr">
        <is>
          <t>P2</t>
        </is>
      </c>
      <c r="D58" s="3" t="inlineStr">
        <is>
          <t>FORECAST_BIAS</t>
        </is>
      </c>
      <c r="E58" s="3" t="inlineStr">
        <is>
          <t>AP-NET-023</t>
        </is>
      </c>
      <c r="F58" s="3" t="inlineStr">
        <is>
          <t>Demand Planner, APAC</t>
        </is>
      </c>
      <c r="G58" s="3" t="inlineStr">
        <is>
          <t>Bias -32.0% over last 8 weeks (WAPE 32.0%)</t>
        </is>
      </c>
      <c r="H58" s="18" t="n">
        <v>46319</v>
      </c>
      <c r="I58" s="3" t="inlineStr">
        <is>
          <t>Open</t>
        </is>
      </c>
      <c r="J58" s="3" t="n">
        <v>2</v>
      </c>
      <c r="K58" s="3" t="n">
        <v>1</v>
      </c>
      <c r="L58" s="18" t="n">
        <v>46314</v>
      </c>
      <c r="M58" s="18" t="n">
        <v>46321</v>
      </c>
      <c r="N58" s="3" t="inlineStr">
        <is>
          <t>exception</t>
        </is>
      </c>
      <c r="O58" s="3" t="inlineStr"/>
    </row>
    <row r="59">
      <c r="A59" s="3" t="inlineStr">
        <is>
          <t>ACT-0058</t>
        </is>
      </c>
      <c r="B59" s="3" t="inlineStr">
        <is>
          <t>APAC</t>
        </is>
      </c>
      <c r="C59" s="3" t="inlineStr">
        <is>
          <t>P2</t>
        </is>
      </c>
      <c r="D59" s="3" t="inlineStr">
        <is>
          <t>FORECAST_BIAS</t>
        </is>
      </c>
      <c r="E59" s="3" t="inlineStr">
        <is>
          <t>AP-DEV-005</t>
        </is>
      </c>
      <c r="F59" s="3" t="inlineStr">
        <is>
          <t>Demand Planner, APAC</t>
        </is>
      </c>
      <c r="G59" s="3" t="inlineStr">
        <is>
          <t>Bias -26.0% over last 8 weeks (WAPE 29.0%)</t>
        </is>
      </c>
      <c r="H59" s="18" t="n">
        <v>46319</v>
      </c>
      <c r="I59" s="3" t="inlineStr">
        <is>
          <t>Open</t>
        </is>
      </c>
      <c r="J59" s="3" t="n">
        <v>2</v>
      </c>
      <c r="K59" s="3" t="n">
        <v>1</v>
      </c>
      <c r="L59" s="18" t="n">
        <v>46314</v>
      </c>
      <c r="M59" s="18" t="n">
        <v>46321</v>
      </c>
      <c r="N59" s="3" t="inlineStr">
        <is>
          <t>exception</t>
        </is>
      </c>
      <c r="O59" s="3" t="inlineStr"/>
    </row>
    <row r="60">
      <c r="A60" s="3" t="inlineStr">
        <is>
          <t>ACT-0059</t>
        </is>
      </c>
      <c r="B60" s="3" t="inlineStr">
        <is>
          <t>India</t>
        </is>
      </c>
      <c r="C60" s="3" t="inlineStr">
        <is>
          <t>P2</t>
        </is>
      </c>
      <c r="D60" s="3" t="inlineStr">
        <is>
          <t>FORECAST_BIAS</t>
        </is>
      </c>
      <c r="E60" s="3" t="inlineStr">
        <is>
          <t>IN-NET-039</t>
        </is>
      </c>
      <c r="F60" s="3" t="inlineStr">
        <is>
          <t>Demand Planner, India</t>
        </is>
      </c>
      <c r="G60" s="3" t="inlineStr">
        <is>
          <t>Bias 23.0% over last 8 weeks (WAPE 29.0%)</t>
        </is>
      </c>
      <c r="H60" s="18" t="n">
        <v>46319</v>
      </c>
      <c r="I60" s="3" t="inlineStr">
        <is>
          <t>Resolved-Verify</t>
        </is>
      </c>
      <c r="J60" s="3" t="n">
        <v>0</v>
      </c>
      <c r="K60" s="3" t="n">
        <v>0</v>
      </c>
      <c r="L60" s="18" t="n">
        <v>46314</v>
      </c>
      <c r="M60" s="18" t="n">
        <v>46314</v>
      </c>
      <c r="N60" s="3" t="inlineStr">
        <is>
          <t>exception</t>
        </is>
      </c>
      <c r="O60" s="3" t="inlineStr">
        <is>
          <t>Not flagged in run 2026-10-26; owner to confirm and close</t>
        </is>
      </c>
    </row>
    <row r="61">
      <c r="A61" s="3" t="inlineStr">
        <is>
          <t>ACT-0060</t>
        </is>
      </c>
      <c r="B61" s="3" t="inlineStr">
        <is>
          <t>India</t>
        </is>
      </c>
      <c r="C61" s="3" t="inlineStr">
        <is>
          <t>P2</t>
        </is>
      </c>
      <c r="D61" s="3" t="inlineStr">
        <is>
          <t>LATE_PO</t>
        </is>
      </c>
      <c r="E61" s="3" t="inlineStr">
        <is>
          <t>PO000022</t>
        </is>
      </c>
      <c r="F61" s="3" t="inlineStr">
        <is>
          <t>Procurement Lead, India</t>
        </is>
      </c>
      <c r="G61" s="3" t="inlineStr">
        <is>
          <t>PO PO000022 is 1 days past promised date, open qty 181</t>
        </is>
      </c>
      <c r="H61" s="18" t="n">
        <v>46319</v>
      </c>
      <c r="I61" s="3" t="inlineStr">
        <is>
          <t>Resolved-Verify</t>
        </is>
      </c>
      <c r="J61" s="3" t="n">
        <v>0</v>
      </c>
      <c r="K61" s="3" t="n">
        <v>0</v>
      </c>
      <c r="L61" s="18" t="n">
        <v>46314</v>
      </c>
      <c r="M61" s="18" t="n">
        <v>46314</v>
      </c>
      <c r="N61" s="3" t="inlineStr">
        <is>
          <t>exception</t>
        </is>
      </c>
      <c r="O61" s="3" t="inlineStr">
        <is>
          <t>Not flagged in run 2026-10-26; owner to confirm and close</t>
        </is>
      </c>
    </row>
    <row r="62">
      <c r="A62" s="3" t="inlineStr">
        <is>
          <t>ACT-0061</t>
        </is>
      </c>
      <c r="B62" s="3" t="inlineStr">
        <is>
          <t>MENA-PAK</t>
        </is>
      </c>
      <c r="C62" s="3" t="inlineStr">
        <is>
          <t>P2</t>
        </is>
      </c>
      <c r="D62" s="3" t="inlineStr">
        <is>
          <t>LATE_PO</t>
        </is>
      </c>
      <c r="E62" s="3" t="inlineStr">
        <is>
          <t>PO000041</t>
        </is>
      </c>
      <c r="F62" s="3" t="inlineStr">
        <is>
          <t>Procurement Lead, MENA-PAK</t>
        </is>
      </c>
      <c r="G62" s="3" t="inlineStr">
        <is>
          <t>PO PO000041 is 9 days past promised date, open qty 847</t>
        </is>
      </c>
      <c r="H62" s="18" t="n">
        <v>46319</v>
      </c>
      <c r="I62" s="3" t="inlineStr">
        <is>
          <t>Resolved-Verify</t>
        </is>
      </c>
      <c r="J62" s="3" t="n">
        <v>0</v>
      </c>
      <c r="K62" s="3" t="n">
        <v>0</v>
      </c>
      <c r="L62" s="18" t="n">
        <v>46314</v>
      </c>
      <c r="M62" s="18" t="n">
        <v>46314</v>
      </c>
      <c r="N62" s="3" t="inlineStr">
        <is>
          <t>exception</t>
        </is>
      </c>
      <c r="O62" s="3" t="inlineStr">
        <is>
          <t>Not flagged in run 2026-10-26; owner to confirm and close</t>
        </is>
      </c>
    </row>
    <row r="63">
      <c r="A63" s="3" t="inlineStr">
        <is>
          <t>ACT-0062</t>
        </is>
      </c>
      <c r="B63" s="3" t="inlineStr">
        <is>
          <t>India</t>
        </is>
      </c>
      <c r="C63" s="3" t="inlineStr">
        <is>
          <t>P2</t>
        </is>
      </c>
      <c r="D63" s="3" t="inlineStr">
        <is>
          <t>LATE_PO</t>
        </is>
      </c>
      <c r="E63" s="3" t="inlineStr">
        <is>
          <t>PO000045</t>
        </is>
      </c>
      <c r="F63" s="3" t="inlineStr">
        <is>
          <t>Procurement Lead, India</t>
        </is>
      </c>
      <c r="G63" s="3" t="inlineStr">
        <is>
          <t>PO PO000045 is 3 days past promised date, open qty 109</t>
        </is>
      </c>
      <c r="H63" s="18" t="n">
        <v>46319</v>
      </c>
      <c r="I63" s="3" t="inlineStr">
        <is>
          <t>Resolved-Verify</t>
        </is>
      </c>
      <c r="J63" s="3" t="n">
        <v>0</v>
      </c>
      <c r="K63" s="3" t="n">
        <v>0</v>
      </c>
      <c r="L63" s="18" t="n">
        <v>46314</v>
      </c>
      <c r="M63" s="18" t="n">
        <v>46314</v>
      </c>
      <c r="N63" s="3" t="inlineStr">
        <is>
          <t>exception</t>
        </is>
      </c>
      <c r="O63" s="3" t="inlineStr">
        <is>
          <t>Not flagged in run 2026-10-26; owner to confirm and close</t>
        </is>
      </c>
    </row>
    <row r="64">
      <c r="A64" s="3" t="inlineStr">
        <is>
          <t>ACT-0063</t>
        </is>
      </c>
      <c r="B64" s="3" t="inlineStr">
        <is>
          <t>South Africa</t>
        </is>
      </c>
      <c r="C64" s="3" t="inlineStr">
        <is>
          <t>P2</t>
        </is>
      </c>
      <c r="D64" s="3" t="inlineStr">
        <is>
          <t>LATE_PO</t>
        </is>
      </c>
      <c r="E64" s="3" t="inlineStr">
        <is>
          <t>PO000123</t>
        </is>
      </c>
      <c r="F64" s="3" t="inlineStr">
        <is>
          <t>Procurement Lead, South Africa</t>
        </is>
      </c>
      <c r="G64" s="3" t="inlineStr">
        <is>
          <t>PO PO000123 is 3 days past promised date, open qty 127</t>
        </is>
      </c>
      <c r="H64" s="18" t="n">
        <v>46319</v>
      </c>
      <c r="I64" s="3" t="inlineStr">
        <is>
          <t>Resolved-Verify</t>
        </is>
      </c>
      <c r="J64" s="3" t="n">
        <v>0</v>
      </c>
      <c r="K64" s="3" t="n">
        <v>0</v>
      </c>
      <c r="L64" s="18" t="n">
        <v>46314</v>
      </c>
      <c r="M64" s="18" t="n">
        <v>46314</v>
      </c>
      <c r="N64" s="3" t="inlineStr">
        <is>
          <t>exception</t>
        </is>
      </c>
      <c r="O64" s="3" t="inlineStr">
        <is>
          <t>Not flagged in run 2026-10-26; owner to confirm and close</t>
        </is>
      </c>
    </row>
    <row r="65">
      <c r="A65" s="3" t="inlineStr">
        <is>
          <t>ACT-0064</t>
        </is>
      </c>
      <c r="B65" s="3" t="inlineStr">
        <is>
          <t>India</t>
        </is>
      </c>
      <c r="C65" s="3" t="inlineStr">
        <is>
          <t>P2</t>
        </is>
      </c>
      <c r="D65" s="3" t="inlineStr">
        <is>
          <t>LATE_PO</t>
        </is>
      </c>
      <c r="E65" s="3" t="inlineStr">
        <is>
          <t>PO000194</t>
        </is>
      </c>
      <c r="F65" s="3" t="inlineStr">
        <is>
          <t>Procurement Lead, India</t>
        </is>
      </c>
      <c r="G65" s="3" t="inlineStr">
        <is>
          <t>PO PO000194 is 11 days past promised date, open qty 861</t>
        </is>
      </c>
      <c r="H65" s="18" t="n">
        <v>46319</v>
      </c>
      <c r="I65" s="3" t="inlineStr">
        <is>
          <t>Resolved-Verify</t>
        </is>
      </c>
      <c r="J65" s="3" t="n">
        <v>0</v>
      </c>
      <c r="K65" s="3" t="n">
        <v>0</v>
      </c>
      <c r="L65" s="18" t="n">
        <v>46314</v>
      </c>
      <c r="M65" s="18" t="n">
        <v>46314</v>
      </c>
      <c r="N65" s="3" t="inlineStr">
        <is>
          <t>exception</t>
        </is>
      </c>
      <c r="O65" s="3" t="inlineStr">
        <is>
          <t>Not flagged in run 2026-10-26; owner to confirm and close</t>
        </is>
      </c>
    </row>
    <row r="66">
      <c r="A66" s="3" t="inlineStr">
        <is>
          <t>ACT-0065</t>
        </is>
      </c>
      <c r="B66" s="3" t="inlineStr">
        <is>
          <t>South Africa</t>
        </is>
      </c>
      <c r="C66" s="3" t="inlineStr">
        <is>
          <t>P2</t>
        </is>
      </c>
      <c r="D66" s="3" t="inlineStr">
        <is>
          <t>LATE_PO</t>
        </is>
      </c>
      <c r="E66" s="3" t="inlineStr">
        <is>
          <t>PO000072</t>
        </is>
      </c>
      <c r="F66" s="3" t="inlineStr">
        <is>
          <t>Procurement Lead, South Africa</t>
        </is>
      </c>
      <c r="G66" s="3" t="inlineStr">
        <is>
          <t>PO PO000072 is 4 days past promised date, open qty 264</t>
        </is>
      </c>
      <c r="H66" s="18" t="n">
        <v>46319</v>
      </c>
      <c r="I66" s="3" t="inlineStr">
        <is>
          <t>Resolved-Verify</t>
        </is>
      </c>
      <c r="J66" s="3" t="n">
        <v>0</v>
      </c>
      <c r="K66" s="3" t="n">
        <v>0</v>
      </c>
      <c r="L66" s="18" t="n">
        <v>46314</v>
      </c>
      <c r="M66" s="18" t="n">
        <v>46314</v>
      </c>
      <c r="N66" s="3" t="inlineStr">
        <is>
          <t>exception</t>
        </is>
      </c>
      <c r="O66" s="3" t="inlineStr">
        <is>
          <t>Not flagged in run 2026-10-26; owner to confirm and close</t>
        </is>
      </c>
    </row>
    <row r="67">
      <c r="A67" s="3" t="inlineStr">
        <is>
          <t>ACT-0066</t>
        </is>
      </c>
      <c r="B67" s="3" t="inlineStr">
        <is>
          <t>APAC</t>
        </is>
      </c>
      <c r="C67" s="3" t="inlineStr">
        <is>
          <t>P2</t>
        </is>
      </c>
      <c r="D67" s="3" t="inlineStr">
        <is>
          <t>LATE_PO</t>
        </is>
      </c>
      <c r="E67" s="3" t="inlineStr">
        <is>
          <t>PO000210</t>
        </is>
      </c>
      <c r="F67" s="3" t="inlineStr">
        <is>
          <t>Procurement Lead, APAC</t>
        </is>
      </c>
      <c r="G67" s="3" t="inlineStr">
        <is>
          <t>PO PO000210 is 8 days past promised date, open qty 168</t>
        </is>
      </c>
      <c r="H67" s="18" t="n">
        <v>46319</v>
      </c>
      <c r="I67" s="3" t="inlineStr">
        <is>
          <t>Resolved-Verify</t>
        </is>
      </c>
      <c r="J67" s="3" t="n">
        <v>0</v>
      </c>
      <c r="K67" s="3" t="n">
        <v>0</v>
      </c>
      <c r="L67" s="18" t="n">
        <v>46314</v>
      </c>
      <c r="M67" s="18" t="n">
        <v>46314</v>
      </c>
      <c r="N67" s="3" t="inlineStr">
        <is>
          <t>exception</t>
        </is>
      </c>
      <c r="O67" s="3" t="inlineStr">
        <is>
          <t>Not flagged in run 2026-10-26; owner to confirm and close</t>
        </is>
      </c>
    </row>
    <row r="68">
      <c r="A68" s="3" t="inlineStr">
        <is>
          <t>ACT-0067</t>
        </is>
      </c>
      <c r="B68" s="3" t="inlineStr">
        <is>
          <t>MENA-PAK</t>
        </is>
      </c>
      <c r="C68" s="3" t="inlineStr">
        <is>
          <t>P1</t>
        </is>
      </c>
      <c r="D68" s="3" t="inlineStr">
        <is>
          <t>LATE_PO</t>
        </is>
      </c>
      <c r="E68" s="3" t="inlineStr">
        <is>
          <t>PO000148</t>
        </is>
      </c>
      <c r="F68" s="3" t="inlineStr">
        <is>
          <t>Procurement Lead, MENA-PAK</t>
        </is>
      </c>
      <c r="G68" s="3" t="inlineStr">
        <is>
          <t>PO PO000148 is 12 days past promised date, open qty 605</t>
        </is>
      </c>
      <c r="H68" s="18" t="n">
        <v>46316</v>
      </c>
      <c r="I68" s="3" t="inlineStr">
        <is>
          <t>Resolved-Verify</t>
        </is>
      </c>
      <c r="J68" s="3" t="n">
        <v>0</v>
      </c>
      <c r="K68" s="3" t="n">
        <v>0</v>
      </c>
      <c r="L68" s="18" t="n">
        <v>46314</v>
      </c>
      <c r="M68" s="18" t="n">
        <v>46314</v>
      </c>
      <c r="N68" s="3" t="inlineStr">
        <is>
          <t>exception</t>
        </is>
      </c>
      <c r="O68" s="3" t="inlineStr">
        <is>
          <t>Not flagged in run 2026-10-26; owner to confirm and close</t>
        </is>
      </c>
    </row>
    <row r="69">
      <c r="A69" s="3" t="inlineStr">
        <is>
          <t>ACT-0068</t>
        </is>
      </c>
      <c r="B69" s="3" t="inlineStr">
        <is>
          <t>APAC</t>
        </is>
      </c>
      <c r="C69" s="3" t="inlineStr">
        <is>
          <t>P2</t>
        </is>
      </c>
      <c r="D69" s="3" t="inlineStr">
        <is>
          <t>LATE_PO</t>
        </is>
      </c>
      <c r="E69" s="3" t="inlineStr">
        <is>
          <t>PO000031</t>
        </is>
      </c>
      <c r="F69" s="3" t="inlineStr">
        <is>
          <t>Procurement Lead, APAC</t>
        </is>
      </c>
      <c r="G69" s="3" t="inlineStr">
        <is>
          <t>PO PO000031 is 3 days past promised date, open qty 102</t>
        </is>
      </c>
      <c r="H69" s="18" t="n">
        <v>46319</v>
      </c>
      <c r="I69" s="3" t="inlineStr">
        <is>
          <t>Resolved-Verify</t>
        </is>
      </c>
      <c r="J69" s="3" t="n">
        <v>0</v>
      </c>
      <c r="K69" s="3" t="n">
        <v>0</v>
      </c>
      <c r="L69" s="18" t="n">
        <v>46314</v>
      </c>
      <c r="M69" s="18" t="n">
        <v>46314</v>
      </c>
      <c r="N69" s="3" t="inlineStr">
        <is>
          <t>exception</t>
        </is>
      </c>
      <c r="O69" s="3" t="inlineStr">
        <is>
          <t>Not flagged in run 2026-10-26; owner to confirm and close</t>
        </is>
      </c>
    </row>
    <row r="70">
      <c r="A70" s="3" t="inlineStr">
        <is>
          <t>ACT-0069</t>
        </is>
      </c>
      <c r="B70" s="3" t="inlineStr">
        <is>
          <t>MENA-PAK</t>
        </is>
      </c>
      <c r="C70" s="3" t="inlineStr">
        <is>
          <t>P2</t>
        </is>
      </c>
      <c r="D70" s="3" t="inlineStr">
        <is>
          <t>LATE_PO</t>
        </is>
      </c>
      <c r="E70" s="3" t="inlineStr">
        <is>
          <t>PO000036</t>
        </is>
      </c>
      <c r="F70" s="3" t="inlineStr">
        <is>
          <t>Procurement Lead, MENA-PAK</t>
        </is>
      </c>
      <c r="G70" s="3" t="inlineStr">
        <is>
          <t>PO PO000036 is 1 days past promised date, open qty 538</t>
        </is>
      </c>
      <c r="H70" s="18" t="n">
        <v>46319</v>
      </c>
      <c r="I70" s="3" t="inlineStr">
        <is>
          <t>Resolved-Verify</t>
        </is>
      </c>
      <c r="J70" s="3" t="n">
        <v>0</v>
      </c>
      <c r="K70" s="3" t="n">
        <v>0</v>
      </c>
      <c r="L70" s="18" t="n">
        <v>46314</v>
      </c>
      <c r="M70" s="18" t="n">
        <v>46314</v>
      </c>
      <c r="N70" s="3" t="inlineStr">
        <is>
          <t>exception</t>
        </is>
      </c>
      <c r="O70" s="3" t="inlineStr">
        <is>
          <t>Not flagged in run 2026-10-26; owner to confirm and close</t>
        </is>
      </c>
    </row>
    <row r="71">
      <c r="A71" s="3" t="inlineStr">
        <is>
          <t>ACT-0070</t>
        </is>
      </c>
      <c r="B71" s="3" t="inlineStr">
        <is>
          <t>South Africa</t>
        </is>
      </c>
      <c r="C71" s="3" t="inlineStr">
        <is>
          <t>P2</t>
        </is>
      </c>
      <c r="D71" s="3" t="inlineStr">
        <is>
          <t>LATE_PO</t>
        </is>
      </c>
      <c r="E71" s="3" t="inlineStr">
        <is>
          <t>PO000034</t>
        </is>
      </c>
      <c r="F71" s="3" t="inlineStr">
        <is>
          <t>Procurement Lead, South Africa</t>
        </is>
      </c>
      <c r="G71" s="3" t="inlineStr">
        <is>
          <t>PO PO000034 is 4 days past promised date, open qty 1369</t>
        </is>
      </c>
      <c r="H71" s="18" t="n">
        <v>46319</v>
      </c>
      <c r="I71" s="3" t="inlineStr">
        <is>
          <t>Resolved-Verify</t>
        </is>
      </c>
      <c r="J71" s="3" t="n">
        <v>0</v>
      </c>
      <c r="K71" s="3" t="n">
        <v>0</v>
      </c>
      <c r="L71" s="18" t="n">
        <v>46314</v>
      </c>
      <c r="M71" s="18" t="n">
        <v>46314</v>
      </c>
      <c r="N71" s="3" t="inlineStr">
        <is>
          <t>exception</t>
        </is>
      </c>
      <c r="O71" s="3" t="inlineStr">
        <is>
          <t>Not flagged in run 2026-10-26; owner to confirm and close</t>
        </is>
      </c>
    </row>
    <row r="72">
      <c r="A72" s="3" t="inlineStr">
        <is>
          <t>ACT-0071</t>
        </is>
      </c>
      <c r="B72" s="3" t="inlineStr">
        <is>
          <t>APAC</t>
        </is>
      </c>
      <c r="C72" s="3" t="inlineStr">
        <is>
          <t>P2</t>
        </is>
      </c>
      <c r="D72" s="3" t="inlineStr">
        <is>
          <t>LATE_PO</t>
        </is>
      </c>
      <c r="E72" s="3" t="inlineStr">
        <is>
          <t>PO000116</t>
        </is>
      </c>
      <c r="F72" s="3" t="inlineStr">
        <is>
          <t>Procurement Lead, APAC</t>
        </is>
      </c>
      <c r="G72" s="3" t="inlineStr">
        <is>
          <t>PO PO000116 is 2 days past promised date, open qty 357</t>
        </is>
      </c>
      <c r="H72" s="18" t="n">
        <v>46319</v>
      </c>
      <c r="I72" s="3" t="inlineStr">
        <is>
          <t>Resolved-Verify</t>
        </is>
      </c>
      <c r="J72" s="3" t="n">
        <v>0</v>
      </c>
      <c r="K72" s="3" t="n">
        <v>0</v>
      </c>
      <c r="L72" s="18" t="n">
        <v>46314</v>
      </c>
      <c r="M72" s="18" t="n">
        <v>46314</v>
      </c>
      <c r="N72" s="3" t="inlineStr">
        <is>
          <t>exception</t>
        </is>
      </c>
      <c r="O72" s="3" t="inlineStr">
        <is>
          <t>Not flagged in run 2026-10-26; owner to confirm and close</t>
        </is>
      </c>
    </row>
    <row r="73">
      <c r="A73" s="3" t="inlineStr">
        <is>
          <t>ACT-0072</t>
        </is>
      </c>
      <c r="B73" s="3" t="inlineStr">
        <is>
          <t>MENA-PAK</t>
        </is>
      </c>
      <c r="C73" s="3" t="inlineStr">
        <is>
          <t>P2</t>
        </is>
      </c>
      <c r="D73" s="3" t="inlineStr">
        <is>
          <t>LATE_PO</t>
        </is>
      </c>
      <c r="E73" s="3" t="inlineStr">
        <is>
          <t>PO000138</t>
        </is>
      </c>
      <c r="F73" s="3" t="inlineStr">
        <is>
          <t>Procurement Lead, MENA-PAK</t>
        </is>
      </c>
      <c r="G73" s="3" t="inlineStr">
        <is>
          <t>PO PO000138 is 12 days past promised date, open qty 394</t>
        </is>
      </c>
      <c r="H73" s="18" t="n">
        <v>46319</v>
      </c>
      <c r="I73" s="3" t="inlineStr">
        <is>
          <t>Resolved-Verify</t>
        </is>
      </c>
      <c r="J73" s="3" t="n">
        <v>0</v>
      </c>
      <c r="K73" s="3" t="n">
        <v>0</v>
      </c>
      <c r="L73" s="18" t="n">
        <v>46314</v>
      </c>
      <c r="M73" s="18" t="n">
        <v>46314</v>
      </c>
      <c r="N73" s="3" t="inlineStr">
        <is>
          <t>exception</t>
        </is>
      </c>
      <c r="O73" s="3" t="inlineStr">
        <is>
          <t>Not flagged in run 2026-10-26; owner to confirm and close</t>
        </is>
      </c>
    </row>
    <row r="74">
      <c r="A74" s="3" t="inlineStr">
        <is>
          <t>ACT-0073</t>
        </is>
      </c>
      <c r="B74" s="3" t="inlineStr">
        <is>
          <t>MENA-PAK</t>
        </is>
      </c>
      <c r="C74" s="3" t="inlineStr">
        <is>
          <t>P2</t>
        </is>
      </c>
      <c r="D74" s="3" t="inlineStr">
        <is>
          <t>LATE_PO</t>
        </is>
      </c>
      <c r="E74" s="3" t="inlineStr">
        <is>
          <t>PO000093</t>
        </is>
      </c>
      <c r="F74" s="3" t="inlineStr">
        <is>
          <t>Procurement Lead, MENA-PAK</t>
        </is>
      </c>
      <c r="G74" s="3" t="inlineStr">
        <is>
          <t>PO PO000093 is 8 days past promised date, open qty 679</t>
        </is>
      </c>
      <c r="H74" s="18" t="n">
        <v>46319</v>
      </c>
      <c r="I74" s="3" t="inlineStr">
        <is>
          <t>Resolved-Verify</t>
        </is>
      </c>
      <c r="J74" s="3" t="n">
        <v>0</v>
      </c>
      <c r="K74" s="3" t="n">
        <v>0</v>
      </c>
      <c r="L74" s="18" t="n">
        <v>46314</v>
      </c>
      <c r="M74" s="18" t="n">
        <v>46314</v>
      </c>
      <c r="N74" s="3" t="inlineStr">
        <is>
          <t>exception</t>
        </is>
      </c>
      <c r="O74" s="3" t="inlineStr">
        <is>
          <t>Not flagged in run 2026-10-26; owner to confirm and close</t>
        </is>
      </c>
    </row>
    <row r="75">
      <c r="A75" s="3" t="inlineStr">
        <is>
          <t>ACT-0074</t>
        </is>
      </c>
      <c r="B75" s="3" t="inlineStr">
        <is>
          <t>India</t>
        </is>
      </c>
      <c r="C75" s="3" t="inlineStr">
        <is>
          <t>P2</t>
        </is>
      </c>
      <c r="D75" s="3" t="inlineStr">
        <is>
          <t>LATE_PO</t>
        </is>
      </c>
      <c r="E75" s="3" t="inlineStr">
        <is>
          <t>PO000033</t>
        </is>
      </c>
      <c r="F75" s="3" t="inlineStr">
        <is>
          <t>Procurement Lead, India</t>
        </is>
      </c>
      <c r="G75" s="3" t="inlineStr">
        <is>
          <t>PO PO000033 is 1 days past promised date, open qty 290</t>
        </is>
      </c>
      <c r="H75" s="18" t="n">
        <v>46319</v>
      </c>
      <c r="I75" s="3" t="inlineStr">
        <is>
          <t>Resolved-Verify</t>
        </is>
      </c>
      <c r="J75" s="3" t="n">
        <v>0</v>
      </c>
      <c r="K75" s="3" t="n">
        <v>0</v>
      </c>
      <c r="L75" s="18" t="n">
        <v>46314</v>
      </c>
      <c r="M75" s="18" t="n">
        <v>46314</v>
      </c>
      <c r="N75" s="3" t="inlineStr">
        <is>
          <t>exception</t>
        </is>
      </c>
      <c r="O75" s="3" t="inlineStr">
        <is>
          <t>Not flagged in run 2026-10-26; owner to confirm and close</t>
        </is>
      </c>
    </row>
    <row r="76">
      <c r="A76" s="3" t="inlineStr">
        <is>
          <t>ACT-0075</t>
        </is>
      </c>
      <c r="B76" s="3" t="inlineStr">
        <is>
          <t>South Africa</t>
        </is>
      </c>
      <c r="C76" s="3" t="inlineStr">
        <is>
          <t>P2</t>
        </is>
      </c>
      <c r="D76" s="3" t="inlineStr">
        <is>
          <t>LATE_PO</t>
        </is>
      </c>
      <c r="E76" s="3" t="inlineStr">
        <is>
          <t>PO000130</t>
        </is>
      </c>
      <c r="F76" s="3" t="inlineStr">
        <is>
          <t>Procurement Lead, South Africa</t>
        </is>
      </c>
      <c r="G76" s="3" t="inlineStr">
        <is>
          <t>PO PO000130 is 5 days past promised date, open qty 611</t>
        </is>
      </c>
      <c r="H76" s="18" t="n">
        <v>46319</v>
      </c>
      <c r="I76" s="3" t="inlineStr">
        <is>
          <t>Resolved-Verify</t>
        </is>
      </c>
      <c r="J76" s="3" t="n">
        <v>0</v>
      </c>
      <c r="K76" s="3" t="n">
        <v>0</v>
      </c>
      <c r="L76" s="18" t="n">
        <v>46314</v>
      </c>
      <c r="M76" s="18" t="n">
        <v>46314</v>
      </c>
      <c r="N76" s="3" t="inlineStr">
        <is>
          <t>exception</t>
        </is>
      </c>
      <c r="O76" s="3" t="inlineStr">
        <is>
          <t>Not flagged in run 2026-10-26; owner to confirm and close</t>
        </is>
      </c>
    </row>
    <row r="77">
      <c r="A77" s="3" t="inlineStr">
        <is>
          <t>ACT-0076</t>
        </is>
      </c>
      <c r="B77" s="3" t="inlineStr">
        <is>
          <t>APAC</t>
        </is>
      </c>
      <c r="C77" s="3" t="inlineStr">
        <is>
          <t>P2</t>
        </is>
      </c>
      <c r="D77" s="3" t="inlineStr">
        <is>
          <t>LATE_PO</t>
        </is>
      </c>
      <c r="E77" s="3" t="inlineStr">
        <is>
          <t>PO000205</t>
        </is>
      </c>
      <c r="F77" s="3" t="inlineStr">
        <is>
          <t>Procurement Lead, APAC</t>
        </is>
      </c>
      <c r="G77" s="3" t="inlineStr">
        <is>
          <t>PO PO000205 is 2 days past promised date, open qty 355</t>
        </is>
      </c>
      <c r="H77" s="18" t="n">
        <v>46319</v>
      </c>
      <c r="I77" s="3" t="inlineStr">
        <is>
          <t>Resolved-Verify</t>
        </is>
      </c>
      <c r="J77" s="3" t="n">
        <v>0</v>
      </c>
      <c r="K77" s="3" t="n">
        <v>0</v>
      </c>
      <c r="L77" s="18" t="n">
        <v>46314</v>
      </c>
      <c r="M77" s="18" t="n">
        <v>46314</v>
      </c>
      <c r="N77" s="3" t="inlineStr">
        <is>
          <t>exception</t>
        </is>
      </c>
      <c r="O77" s="3" t="inlineStr">
        <is>
          <t>Not flagged in run 2026-10-26; owner to confirm and close</t>
        </is>
      </c>
    </row>
    <row r="78">
      <c r="A78" s="3" t="inlineStr">
        <is>
          <t>ACT-0077</t>
        </is>
      </c>
      <c r="B78" s="3" t="inlineStr">
        <is>
          <t>South Africa</t>
        </is>
      </c>
      <c r="C78" s="3" t="inlineStr">
        <is>
          <t>P2</t>
        </is>
      </c>
      <c r="D78" s="3" t="inlineStr">
        <is>
          <t>LATE_PO</t>
        </is>
      </c>
      <c r="E78" s="3" t="inlineStr">
        <is>
          <t>PO000100</t>
        </is>
      </c>
      <c r="F78" s="3" t="inlineStr">
        <is>
          <t>Procurement Lead, South Africa</t>
        </is>
      </c>
      <c r="G78" s="3" t="inlineStr">
        <is>
          <t>PO PO000100 is 1 days past promised date, open qty 836</t>
        </is>
      </c>
      <c r="H78" s="18" t="n">
        <v>46319</v>
      </c>
      <c r="I78" s="3" t="inlineStr">
        <is>
          <t>Resolved-Verify</t>
        </is>
      </c>
      <c r="J78" s="3" t="n">
        <v>0</v>
      </c>
      <c r="K78" s="3" t="n">
        <v>0</v>
      </c>
      <c r="L78" s="18" t="n">
        <v>46314</v>
      </c>
      <c r="M78" s="18" t="n">
        <v>46314</v>
      </c>
      <c r="N78" s="3" t="inlineStr">
        <is>
          <t>exception</t>
        </is>
      </c>
      <c r="O78" s="3" t="inlineStr">
        <is>
          <t>Not flagged in run 2026-10-26; owner to confirm and close</t>
        </is>
      </c>
    </row>
    <row r="79">
      <c r="A79" s="3" t="inlineStr">
        <is>
          <t>ACT-0078</t>
        </is>
      </c>
      <c r="B79" s="3" t="inlineStr">
        <is>
          <t>APAC</t>
        </is>
      </c>
      <c r="C79" s="3" t="inlineStr">
        <is>
          <t>P1</t>
        </is>
      </c>
      <c r="D79" s="3" t="inlineStr">
        <is>
          <t>LATE_PO</t>
        </is>
      </c>
      <c r="E79" s="3" t="inlineStr">
        <is>
          <t>PO000240</t>
        </is>
      </c>
      <c r="F79" s="3" t="inlineStr">
        <is>
          <t>Procurement Lead, APAC</t>
        </is>
      </c>
      <c r="G79" s="3" t="inlineStr">
        <is>
          <t>PO PO000240 is 3 days past promised date, open qty 612</t>
        </is>
      </c>
      <c r="H79" s="18" t="n">
        <v>46316</v>
      </c>
      <c r="I79" s="3" t="inlineStr">
        <is>
          <t>Resolved-Verify</t>
        </is>
      </c>
      <c r="J79" s="3" t="n">
        <v>0</v>
      </c>
      <c r="K79" s="3" t="n">
        <v>0</v>
      </c>
      <c r="L79" s="18" t="n">
        <v>46314</v>
      </c>
      <c r="M79" s="18" t="n">
        <v>46314</v>
      </c>
      <c r="N79" s="3" t="inlineStr">
        <is>
          <t>exception</t>
        </is>
      </c>
      <c r="O79" s="3" t="inlineStr">
        <is>
          <t>Not flagged in run 2026-10-26; owner to confirm and close</t>
        </is>
      </c>
    </row>
    <row r="80">
      <c r="A80" s="3" t="inlineStr">
        <is>
          <t>ACT-0079</t>
        </is>
      </c>
      <c r="B80" s="3" t="inlineStr">
        <is>
          <t>APAC</t>
        </is>
      </c>
      <c r="C80" s="3" t="inlineStr">
        <is>
          <t>P2</t>
        </is>
      </c>
      <c r="D80" s="3" t="inlineStr">
        <is>
          <t>LATE_PO</t>
        </is>
      </c>
      <c r="E80" s="3" t="inlineStr">
        <is>
          <t>PO000129</t>
        </is>
      </c>
      <c r="F80" s="3" t="inlineStr">
        <is>
          <t>Procurement Lead, APAC</t>
        </is>
      </c>
      <c r="G80" s="3" t="inlineStr">
        <is>
          <t>PO PO000129 is 10 days past promised date, open qty 1007</t>
        </is>
      </c>
      <c r="H80" s="18" t="n">
        <v>46319</v>
      </c>
      <c r="I80" s="3" t="inlineStr">
        <is>
          <t>Resolved-Verify</t>
        </is>
      </c>
      <c r="J80" s="3" t="n">
        <v>0</v>
      </c>
      <c r="K80" s="3" t="n">
        <v>0</v>
      </c>
      <c r="L80" s="18" t="n">
        <v>46314</v>
      </c>
      <c r="M80" s="18" t="n">
        <v>46314</v>
      </c>
      <c r="N80" s="3" t="inlineStr">
        <is>
          <t>exception</t>
        </is>
      </c>
      <c r="O80" s="3" t="inlineStr">
        <is>
          <t>Not flagged in run 2026-10-26; owner to confirm and close</t>
        </is>
      </c>
    </row>
    <row r="81">
      <c r="A81" s="3" t="inlineStr">
        <is>
          <t>ACT-0080</t>
        </is>
      </c>
      <c r="B81" s="3" t="inlineStr">
        <is>
          <t>APAC</t>
        </is>
      </c>
      <c r="C81" s="3" t="inlineStr">
        <is>
          <t>P2</t>
        </is>
      </c>
      <c r="D81" s="3" t="inlineStr">
        <is>
          <t>LATE_PO</t>
        </is>
      </c>
      <c r="E81" s="3" t="inlineStr">
        <is>
          <t>PO000130</t>
        </is>
      </c>
      <c r="F81" s="3" t="inlineStr">
        <is>
          <t>Procurement Lead, APAC</t>
        </is>
      </c>
      <c r="G81" s="3" t="inlineStr">
        <is>
          <t>PO PO000130 is 1 days past promised date, open qty 601</t>
        </is>
      </c>
      <c r="H81" s="18" t="n">
        <v>46319</v>
      </c>
      <c r="I81" s="3" t="inlineStr">
        <is>
          <t>Resolved-Verify</t>
        </is>
      </c>
      <c r="J81" s="3" t="n">
        <v>0</v>
      </c>
      <c r="K81" s="3" t="n">
        <v>0</v>
      </c>
      <c r="L81" s="18" t="n">
        <v>46314</v>
      </c>
      <c r="M81" s="18" t="n">
        <v>46314</v>
      </c>
      <c r="N81" s="3" t="inlineStr">
        <is>
          <t>exception</t>
        </is>
      </c>
      <c r="O81" s="3" t="inlineStr">
        <is>
          <t>Not flagged in run 2026-10-26; owner to confirm and close</t>
        </is>
      </c>
    </row>
    <row r="82">
      <c r="A82" s="3" t="inlineStr">
        <is>
          <t>ACT-0081</t>
        </is>
      </c>
      <c r="B82" s="3" t="inlineStr">
        <is>
          <t>India</t>
        </is>
      </c>
      <c r="C82" s="3" t="inlineStr">
        <is>
          <t>P2</t>
        </is>
      </c>
      <c r="D82" s="3" t="inlineStr">
        <is>
          <t>SUPPLIER_OTIF</t>
        </is>
      </c>
      <c r="E82" s="3" t="inlineStr">
        <is>
          <t>SUP-IN-05</t>
        </is>
      </c>
      <c r="F82" s="3" t="inlineStr">
        <is>
          <t>Procurement Lead, India</t>
        </is>
      </c>
      <c r="G82" s="3" t="inlineStr">
        <is>
          <t>Supplier OTIF 43.0% over 28 POs</t>
        </is>
      </c>
      <c r="H82" s="18" t="n">
        <v>46319</v>
      </c>
      <c r="I82" s="3" t="inlineStr">
        <is>
          <t>Resolved-Verify</t>
        </is>
      </c>
      <c r="J82" s="3" t="n">
        <v>0</v>
      </c>
      <c r="K82" s="3" t="n">
        <v>0</v>
      </c>
      <c r="L82" s="18" t="n">
        <v>46314</v>
      </c>
      <c r="M82" s="18" t="n">
        <v>46314</v>
      </c>
      <c r="N82" s="3" t="inlineStr">
        <is>
          <t>exception</t>
        </is>
      </c>
      <c r="O82" s="3" t="inlineStr">
        <is>
          <t>Not flagged in run 2026-10-26; owner to confirm and close</t>
        </is>
      </c>
    </row>
    <row r="83">
      <c r="A83" s="3" t="inlineStr">
        <is>
          <t>ACT-0082</t>
        </is>
      </c>
      <c r="B83" s="3" t="inlineStr">
        <is>
          <t>APAC</t>
        </is>
      </c>
      <c r="C83" s="3" t="inlineStr">
        <is>
          <t>P2</t>
        </is>
      </c>
      <c r="D83" s="3" t="inlineStr">
        <is>
          <t>DATA_QUALITY</t>
        </is>
      </c>
      <c r="E83" s="3" t="inlineStr">
        <is>
          <t>INV_DUP</t>
        </is>
      </c>
      <c r="F83" s="3" t="inlineStr">
        <is>
          <t>Data Steward, APAC</t>
        </is>
      </c>
      <c r="G83" s="3" t="inlineStr">
        <is>
          <t>Duplicate (market, sku) rows in inventory extract: 2 row(s)</t>
        </is>
      </c>
      <c r="H83" s="18" t="n">
        <v>46319</v>
      </c>
      <c r="I83" s="3" t="inlineStr">
        <is>
          <t>Closed</t>
        </is>
      </c>
      <c r="J83" s="3" t="n">
        <v>0</v>
      </c>
      <c r="K83" s="3" t="n">
        <v>0</v>
      </c>
      <c r="L83" s="18" t="n">
        <v>46314</v>
      </c>
      <c r="M83" s="18" t="n">
        <v>46314</v>
      </c>
      <c r="N83" s="3" t="inlineStr">
        <is>
          <t>exception</t>
        </is>
      </c>
      <c r="O83" s="3" t="inlineStr">
        <is>
          <t>Extract fixed upstream (simulated update)</t>
        </is>
      </c>
    </row>
    <row r="84">
      <c r="A84" s="3" t="inlineStr">
        <is>
          <t>ACT-0083</t>
        </is>
      </c>
      <c r="B84" s="3" t="inlineStr">
        <is>
          <t>India</t>
        </is>
      </c>
      <c r="C84" s="3" t="inlineStr">
        <is>
          <t>P2</t>
        </is>
      </c>
      <c r="D84" s="3" t="inlineStr">
        <is>
          <t>DATA_QUALITY</t>
        </is>
      </c>
      <c r="E84" s="3" t="inlineStr">
        <is>
          <t>INV_DUP</t>
        </is>
      </c>
      <c r="F84" s="3" t="inlineStr">
        <is>
          <t>Data Steward, India</t>
        </is>
      </c>
      <c r="G84" s="3" t="inlineStr">
        <is>
          <t>Duplicate (market, sku) rows in inventory extract: 2 row(s)</t>
        </is>
      </c>
      <c r="H84" s="18" t="n">
        <v>46319</v>
      </c>
      <c r="I84" s="3" t="inlineStr">
        <is>
          <t>Closed</t>
        </is>
      </c>
      <c r="J84" s="3" t="n">
        <v>0</v>
      </c>
      <c r="K84" s="3" t="n">
        <v>0</v>
      </c>
      <c r="L84" s="18" t="n">
        <v>46314</v>
      </c>
      <c r="M84" s="18" t="n">
        <v>46314</v>
      </c>
      <c r="N84" s="3" t="inlineStr">
        <is>
          <t>exception</t>
        </is>
      </c>
      <c r="O84" s="3" t="inlineStr">
        <is>
          <t>Extract fixed upstream (simulated update)</t>
        </is>
      </c>
    </row>
    <row r="85">
      <c r="A85" s="3" t="inlineStr">
        <is>
          <t>ACT-0084</t>
        </is>
      </c>
      <c r="B85" s="3" t="inlineStr">
        <is>
          <t>MENA-PAK</t>
        </is>
      </c>
      <c r="C85" s="3" t="inlineStr">
        <is>
          <t>P2</t>
        </is>
      </c>
      <c r="D85" s="3" t="inlineStr">
        <is>
          <t>DATA_QUALITY</t>
        </is>
      </c>
      <c r="E85" s="3" t="inlineStr">
        <is>
          <t>INV_DUP</t>
        </is>
      </c>
      <c r="F85" s="3" t="inlineStr">
        <is>
          <t>Data Steward, MENA-PAK</t>
        </is>
      </c>
      <c r="G85" s="3" t="inlineStr">
        <is>
          <t>Duplicate (market, sku) rows in inventory extract: 2 row(s)</t>
        </is>
      </c>
      <c r="H85" s="18" t="n">
        <v>46319</v>
      </c>
      <c r="I85" s="3" t="inlineStr">
        <is>
          <t>Closed</t>
        </is>
      </c>
      <c r="J85" s="3" t="n">
        <v>0</v>
      </c>
      <c r="K85" s="3" t="n">
        <v>0</v>
      </c>
      <c r="L85" s="18" t="n">
        <v>46314</v>
      </c>
      <c r="M85" s="18" t="n">
        <v>46314</v>
      </c>
      <c r="N85" s="3" t="inlineStr">
        <is>
          <t>exception</t>
        </is>
      </c>
      <c r="O85" s="3" t="inlineStr">
        <is>
          <t>Extract fixed upstream (simulated update)</t>
        </is>
      </c>
    </row>
    <row r="86">
      <c r="A86" s="3" t="inlineStr">
        <is>
          <t>ACT-0085</t>
        </is>
      </c>
      <c r="B86" s="3" t="inlineStr">
        <is>
          <t>South Africa</t>
        </is>
      </c>
      <c r="C86" s="3" t="inlineStr">
        <is>
          <t>P2</t>
        </is>
      </c>
      <c r="D86" s="3" t="inlineStr">
        <is>
          <t>DATA_QUALITY</t>
        </is>
      </c>
      <c r="E86" s="3" t="inlineStr">
        <is>
          <t>INV_DUP</t>
        </is>
      </c>
      <c r="F86" s="3" t="inlineStr">
        <is>
          <t>Data Steward, South Africa</t>
        </is>
      </c>
      <c r="G86" s="3" t="inlineStr">
        <is>
          <t>Duplicate (market, sku) rows in inventory extract: 2 row(s)</t>
        </is>
      </c>
      <c r="H86" s="18" t="n">
        <v>46319</v>
      </c>
      <c r="I86" s="3" t="inlineStr">
        <is>
          <t>Closed</t>
        </is>
      </c>
      <c r="J86" s="3" t="n">
        <v>0</v>
      </c>
      <c r="K86" s="3" t="n">
        <v>0</v>
      </c>
      <c r="L86" s="18" t="n">
        <v>46314</v>
      </c>
      <c r="M86" s="18" t="n">
        <v>46314</v>
      </c>
      <c r="N86" s="3" t="inlineStr">
        <is>
          <t>exception</t>
        </is>
      </c>
      <c r="O86" s="3" t="inlineStr">
        <is>
          <t>Extract fixed upstream (simulated update)</t>
        </is>
      </c>
    </row>
    <row r="87">
      <c r="A87" s="3" t="inlineStr">
        <is>
          <t>ACT-0086</t>
        </is>
      </c>
      <c r="B87" s="3" t="inlineStr">
        <is>
          <t>APAC</t>
        </is>
      </c>
      <c r="C87" s="3" t="inlineStr">
        <is>
          <t>P1</t>
        </is>
      </c>
      <c r="D87" s="3" t="inlineStr">
        <is>
          <t>DATA_QUALITY</t>
        </is>
      </c>
      <c r="E87" s="3" t="inlineStr">
        <is>
          <t>INV_NEG_ONHAND</t>
        </is>
      </c>
      <c r="F87" s="3" t="inlineStr">
        <is>
          <t>Data Steward, APAC</t>
        </is>
      </c>
      <c r="G87" s="3" t="inlineStr">
        <is>
          <t>Negative on-hand quantity in inventory extract: 2 row(s)</t>
        </is>
      </c>
      <c r="H87" s="18" t="n">
        <v>46316</v>
      </c>
      <c r="I87" s="3" t="inlineStr">
        <is>
          <t>Closed</t>
        </is>
      </c>
      <c r="J87" s="3" t="n">
        <v>0</v>
      </c>
      <c r="K87" s="3" t="n">
        <v>0</v>
      </c>
      <c r="L87" s="18" t="n">
        <v>46314</v>
      </c>
      <c r="M87" s="18" t="n">
        <v>46314</v>
      </c>
      <c r="N87" s="3" t="inlineStr">
        <is>
          <t>exception</t>
        </is>
      </c>
      <c r="O87" s="3" t="inlineStr">
        <is>
          <t>Extract fixed upstream (simulated update)</t>
        </is>
      </c>
    </row>
    <row r="88">
      <c r="A88" s="3" t="inlineStr">
        <is>
          <t>ACT-0087</t>
        </is>
      </c>
      <c r="B88" s="3" t="inlineStr">
        <is>
          <t>India</t>
        </is>
      </c>
      <c r="C88" s="3" t="inlineStr">
        <is>
          <t>P1</t>
        </is>
      </c>
      <c r="D88" s="3" t="inlineStr">
        <is>
          <t>DATA_QUALITY</t>
        </is>
      </c>
      <c r="E88" s="3" t="inlineStr">
        <is>
          <t>INV_NEG_ONHAND</t>
        </is>
      </c>
      <c r="F88" s="3" t="inlineStr">
        <is>
          <t>Data Steward, India</t>
        </is>
      </c>
      <c r="G88" s="3" t="inlineStr">
        <is>
          <t>Negative on-hand quantity in inventory extract: 2 row(s)</t>
        </is>
      </c>
      <c r="H88" s="18" t="n">
        <v>46316</v>
      </c>
      <c r="I88" s="3" t="inlineStr">
        <is>
          <t>Open</t>
        </is>
      </c>
      <c r="J88" s="3" t="n">
        <v>5</v>
      </c>
      <c r="K88" s="3" t="n">
        <v>2</v>
      </c>
      <c r="L88" s="18" t="n">
        <v>46314</v>
      </c>
      <c r="M88" s="18" t="n">
        <v>46321</v>
      </c>
      <c r="N88" s="3" t="inlineStr">
        <is>
          <t>exception</t>
        </is>
      </c>
      <c r="O88" s="3" t="inlineStr"/>
    </row>
    <row r="89">
      <c r="A89" s="3" t="inlineStr">
        <is>
          <t>ACT-0088</t>
        </is>
      </c>
      <c r="B89" s="3" t="inlineStr">
        <is>
          <t>MENA-PAK</t>
        </is>
      </c>
      <c r="C89" s="3" t="inlineStr">
        <is>
          <t>P1</t>
        </is>
      </c>
      <c r="D89" s="3" t="inlineStr">
        <is>
          <t>DATA_QUALITY</t>
        </is>
      </c>
      <c r="E89" s="3" t="inlineStr">
        <is>
          <t>INV_NEG_ONHAND</t>
        </is>
      </c>
      <c r="F89" s="3" t="inlineStr">
        <is>
          <t>Data Steward, MENA-PAK</t>
        </is>
      </c>
      <c r="G89" s="3" t="inlineStr">
        <is>
          <t>Negative on-hand quantity in inventory extract: 2 row(s)</t>
        </is>
      </c>
      <c r="H89" s="18" t="n">
        <v>46316</v>
      </c>
      <c r="I89" s="3" t="inlineStr">
        <is>
          <t>Open</t>
        </is>
      </c>
      <c r="J89" s="3" t="n">
        <v>5</v>
      </c>
      <c r="K89" s="3" t="n">
        <v>2</v>
      </c>
      <c r="L89" s="18" t="n">
        <v>46314</v>
      </c>
      <c r="M89" s="18" t="n">
        <v>46321</v>
      </c>
      <c r="N89" s="3" t="inlineStr">
        <is>
          <t>exception</t>
        </is>
      </c>
      <c r="O89" s="3" t="inlineStr"/>
    </row>
    <row r="90">
      <c r="A90" s="3" t="inlineStr">
        <is>
          <t>ACT-0089</t>
        </is>
      </c>
      <c r="B90" s="3" t="inlineStr">
        <is>
          <t>South Africa</t>
        </is>
      </c>
      <c r="C90" s="3" t="inlineStr">
        <is>
          <t>P1</t>
        </is>
      </c>
      <c r="D90" s="3" t="inlineStr">
        <is>
          <t>DATA_QUALITY</t>
        </is>
      </c>
      <c r="E90" s="3" t="inlineStr">
        <is>
          <t>INV_NEG_ONHAND</t>
        </is>
      </c>
      <c r="F90" s="3" t="inlineStr">
        <is>
          <t>Data Steward, South Africa</t>
        </is>
      </c>
      <c r="G90" s="3" t="inlineStr">
        <is>
          <t>Negative on-hand quantity in inventory extract: 2 row(s)</t>
        </is>
      </c>
      <c r="H90" s="18" t="n">
        <v>46316</v>
      </c>
      <c r="I90" s="3" t="inlineStr">
        <is>
          <t>Open</t>
        </is>
      </c>
      <c r="J90" s="3" t="n">
        <v>5</v>
      </c>
      <c r="K90" s="3" t="n">
        <v>2</v>
      </c>
      <c r="L90" s="18" t="n">
        <v>46314</v>
      </c>
      <c r="M90" s="18" t="n">
        <v>46321</v>
      </c>
      <c r="N90" s="3" t="inlineStr">
        <is>
          <t>exception</t>
        </is>
      </c>
      <c r="O90" s="3" t="inlineStr"/>
    </row>
    <row r="91">
      <c r="A91" s="3" t="inlineStr">
        <is>
          <t>ACT-0090</t>
        </is>
      </c>
      <c r="B91" s="3" t="inlineStr">
        <is>
          <t>APAC</t>
        </is>
      </c>
      <c r="C91" s="3" t="inlineStr">
        <is>
          <t>P2</t>
        </is>
      </c>
      <c r="D91" s="3" t="inlineStr">
        <is>
          <t>DATA_QUALITY</t>
        </is>
      </c>
      <c r="E91" s="3" t="inlineStr">
        <is>
          <t>INV_NULL_SS</t>
        </is>
      </c>
      <c r="F91" s="3" t="inlineStr">
        <is>
          <t>Data Steward, APAC</t>
        </is>
      </c>
      <c r="G91" s="3" t="inlineStr">
        <is>
          <t>Missing safety stock value: 2 row(s)</t>
        </is>
      </c>
      <c r="H91" s="18" t="n">
        <v>46319</v>
      </c>
      <c r="I91" s="3" t="inlineStr">
        <is>
          <t>Open</t>
        </is>
      </c>
      <c r="J91" s="3" t="n">
        <v>2</v>
      </c>
      <c r="K91" s="3" t="n">
        <v>1</v>
      </c>
      <c r="L91" s="18" t="n">
        <v>46314</v>
      </c>
      <c r="M91" s="18" t="n">
        <v>46321</v>
      </c>
      <c r="N91" s="3" t="inlineStr">
        <is>
          <t>exception</t>
        </is>
      </c>
      <c r="O91" s="3" t="inlineStr"/>
    </row>
    <row r="92">
      <c r="A92" s="3" t="inlineStr">
        <is>
          <t>ACT-0091</t>
        </is>
      </c>
      <c r="B92" s="3" t="inlineStr">
        <is>
          <t>India</t>
        </is>
      </c>
      <c r="C92" s="3" t="inlineStr">
        <is>
          <t>P2</t>
        </is>
      </c>
      <c r="D92" s="3" t="inlineStr">
        <is>
          <t>DATA_QUALITY</t>
        </is>
      </c>
      <c r="E92" s="3" t="inlineStr">
        <is>
          <t>INV_NULL_SS</t>
        </is>
      </c>
      <c r="F92" s="3" t="inlineStr">
        <is>
          <t>Data Steward, India</t>
        </is>
      </c>
      <c r="G92" s="3" t="inlineStr">
        <is>
          <t>Missing safety stock value: 2 row(s)</t>
        </is>
      </c>
      <c r="H92" s="18" t="n">
        <v>46319</v>
      </c>
      <c r="I92" s="3" t="inlineStr">
        <is>
          <t>Open</t>
        </is>
      </c>
      <c r="J92" s="3" t="n">
        <v>2</v>
      </c>
      <c r="K92" s="3" t="n">
        <v>1</v>
      </c>
      <c r="L92" s="18" t="n">
        <v>46314</v>
      </c>
      <c r="M92" s="18" t="n">
        <v>46321</v>
      </c>
      <c r="N92" s="3" t="inlineStr">
        <is>
          <t>exception</t>
        </is>
      </c>
      <c r="O92" s="3" t="inlineStr"/>
    </row>
    <row r="93">
      <c r="A93" s="3" t="inlineStr">
        <is>
          <t>ACT-0092</t>
        </is>
      </c>
      <c r="B93" s="3" t="inlineStr">
        <is>
          <t>MENA-PAK</t>
        </is>
      </c>
      <c r="C93" s="3" t="inlineStr">
        <is>
          <t>P2</t>
        </is>
      </c>
      <c r="D93" s="3" t="inlineStr">
        <is>
          <t>DATA_QUALITY</t>
        </is>
      </c>
      <c r="E93" s="3" t="inlineStr">
        <is>
          <t>INV_NULL_SS</t>
        </is>
      </c>
      <c r="F93" s="3" t="inlineStr">
        <is>
          <t>Data Steward, MENA-PAK</t>
        </is>
      </c>
      <c r="G93" s="3" t="inlineStr">
        <is>
          <t>Missing safety stock value: 2 row(s)</t>
        </is>
      </c>
      <c r="H93" s="18" t="n">
        <v>46319</v>
      </c>
      <c r="I93" s="3" t="inlineStr">
        <is>
          <t>Open</t>
        </is>
      </c>
      <c r="J93" s="3" t="n">
        <v>2</v>
      </c>
      <c r="K93" s="3" t="n">
        <v>1</v>
      </c>
      <c r="L93" s="18" t="n">
        <v>46314</v>
      </c>
      <c r="M93" s="18" t="n">
        <v>46321</v>
      </c>
      <c r="N93" s="3" t="inlineStr">
        <is>
          <t>exception</t>
        </is>
      </c>
      <c r="O93" s="3" t="inlineStr"/>
    </row>
    <row r="94">
      <c r="A94" s="3" t="inlineStr">
        <is>
          <t>ACT-0093</t>
        </is>
      </c>
      <c r="B94" s="3" t="inlineStr">
        <is>
          <t>South Africa</t>
        </is>
      </c>
      <c r="C94" s="3" t="inlineStr">
        <is>
          <t>P2</t>
        </is>
      </c>
      <c r="D94" s="3" t="inlineStr">
        <is>
          <t>DATA_QUALITY</t>
        </is>
      </c>
      <c r="E94" s="3" t="inlineStr">
        <is>
          <t>INV_NULL_SS</t>
        </is>
      </c>
      <c r="F94" s="3" t="inlineStr">
        <is>
          <t>Data Steward, South Africa</t>
        </is>
      </c>
      <c r="G94" s="3" t="inlineStr">
        <is>
          <t>Missing safety stock value: 2 row(s)</t>
        </is>
      </c>
      <c r="H94" s="18" t="n">
        <v>46319</v>
      </c>
      <c r="I94" s="3" t="inlineStr">
        <is>
          <t>Open</t>
        </is>
      </c>
      <c r="J94" s="3" t="n">
        <v>2</v>
      </c>
      <c r="K94" s="3" t="n">
        <v>1</v>
      </c>
      <c r="L94" s="18" t="n">
        <v>46314</v>
      </c>
      <c r="M94" s="18" t="n">
        <v>46321</v>
      </c>
      <c r="N94" s="3" t="inlineStr">
        <is>
          <t>exception</t>
        </is>
      </c>
      <c r="O94" s="3" t="inlineStr"/>
    </row>
    <row r="95">
      <c r="A95" s="3" t="inlineStr">
        <is>
          <t>ACT-0094</t>
        </is>
      </c>
      <c r="B95" s="3" t="inlineStr">
        <is>
          <t>APAC</t>
        </is>
      </c>
      <c r="C95" s="3" t="inlineStr">
        <is>
          <t>P1</t>
        </is>
      </c>
      <c r="D95" s="3" t="inlineStr">
        <is>
          <t>DATA_QUALITY</t>
        </is>
      </c>
      <c r="E95" s="3" t="inlineStr">
        <is>
          <t>INV_STALE</t>
        </is>
      </c>
      <c r="F95" s="3" t="inlineStr">
        <is>
          <t>Data Steward, APAC</t>
        </is>
      </c>
      <c r="G95" s="3" t="inlineStr">
        <is>
          <t>Inventory snapshot older than 3 days at run date: 47 row(s)</t>
        </is>
      </c>
      <c r="H95" s="18" t="n">
        <v>46316</v>
      </c>
      <c r="I95" s="3" t="inlineStr">
        <is>
          <t>Open</t>
        </is>
      </c>
      <c r="J95" s="3" t="n">
        <v>5</v>
      </c>
      <c r="K95" s="3" t="n">
        <v>2</v>
      </c>
      <c r="L95" s="18" t="n">
        <v>46314</v>
      </c>
      <c r="M95" s="18" t="n">
        <v>46321</v>
      </c>
      <c r="N95" s="3" t="inlineStr">
        <is>
          <t>exception</t>
        </is>
      </c>
      <c r="O95" s="3" t="inlineStr"/>
    </row>
    <row r="96">
      <c r="A96" s="3" t="inlineStr">
        <is>
          <t>ACT-0095</t>
        </is>
      </c>
      <c r="B96" s="3" t="inlineStr">
        <is>
          <t>APAC</t>
        </is>
      </c>
      <c r="C96" s="3" t="inlineStr">
        <is>
          <t>P2</t>
        </is>
      </c>
      <c r="D96" s="3" t="inlineStr">
        <is>
          <t>DATA_QUALITY</t>
        </is>
      </c>
      <c r="E96" s="3" t="inlineStr">
        <is>
          <t>FC_NULL</t>
        </is>
      </c>
      <c r="F96" s="3" t="inlineStr">
        <is>
          <t>Data Steward, APAC</t>
        </is>
      </c>
      <c r="G96" s="3" t="inlineStr">
        <is>
          <t>Forecast row with missing quantity: 3 row(s)</t>
        </is>
      </c>
      <c r="H96" s="18" t="n">
        <v>46319</v>
      </c>
      <c r="I96" s="3" t="inlineStr">
        <is>
          <t>Open</t>
        </is>
      </c>
      <c r="J96" s="3" t="n">
        <v>2</v>
      </c>
      <c r="K96" s="3" t="n">
        <v>1</v>
      </c>
      <c r="L96" s="18" t="n">
        <v>46314</v>
      </c>
      <c r="M96" s="18" t="n">
        <v>46321</v>
      </c>
      <c r="N96" s="3" t="inlineStr">
        <is>
          <t>exception</t>
        </is>
      </c>
      <c r="O96" s="3" t="inlineStr"/>
    </row>
    <row r="97">
      <c r="A97" s="3" t="inlineStr">
        <is>
          <t>ACT-0096</t>
        </is>
      </c>
      <c r="B97" s="3" t="inlineStr">
        <is>
          <t>India</t>
        </is>
      </c>
      <c r="C97" s="3" t="inlineStr">
        <is>
          <t>P2</t>
        </is>
      </c>
      <c r="D97" s="3" t="inlineStr">
        <is>
          <t>DATA_QUALITY</t>
        </is>
      </c>
      <c r="E97" s="3" t="inlineStr">
        <is>
          <t>FC_NULL</t>
        </is>
      </c>
      <c r="F97" s="3" t="inlineStr">
        <is>
          <t>Data Steward, India</t>
        </is>
      </c>
      <c r="G97" s="3" t="inlineStr">
        <is>
          <t>Forecast row with missing quantity: 3 row(s)</t>
        </is>
      </c>
      <c r="H97" s="18" t="n">
        <v>46319</v>
      </c>
      <c r="I97" s="3" t="inlineStr">
        <is>
          <t>Open</t>
        </is>
      </c>
      <c r="J97" s="3" t="n">
        <v>2</v>
      </c>
      <c r="K97" s="3" t="n">
        <v>1</v>
      </c>
      <c r="L97" s="18" t="n">
        <v>46314</v>
      </c>
      <c r="M97" s="18" t="n">
        <v>46321</v>
      </c>
      <c r="N97" s="3" t="inlineStr">
        <is>
          <t>exception</t>
        </is>
      </c>
      <c r="O97" s="3" t="inlineStr"/>
    </row>
    <row r="98">
      <c r="A98" s="3" t="inlineStr">
        <is>
          <t>ACT-0097</t>
        </is>
      </c>
      <c r="B98" s="3" t="inlineStr">
        <is>
          <t>MENA-PAK</t>
        </is>
      </c>
      <c r="C98" s="3" t="inlineStr">
        <is>
          <t>P2</t>
        </is>
      </c>
      <c r="D98" s="3" t="inlineStr">
        <is>
          <t>DATA_QUALITY</t>
        </is>
      </c>
      <c r="E98" s="3" t="inlineStr">
        <is>
          <t>FC_NULL</t>
        </is>
      </c>
      <c r="F98" s="3" t="inlineStr">
        <is>
          <t>Data Steward, MENA-PAK</t>
        </is>
      </c>
      <c r="G98" s="3" t="inlineStr">
        <is>
          <t>Forecast row with missing quantity: 3 row(s)</t>
        </is>
      </c>
      <c r="H98" s="18" t="n">
        <v>46319</v>
      </c>
      <c r="I98" s="3" t="inlineStr">
        <is>
          <t>Open</t>
        </is>
      </c>
      <c r="J98" s="3" t="n">
        <v>2</v>
      </c>
      <c r="K98" s="3" t="n">
        <v>1</v>
      </c>
      <c r="L98" s="18" t="n">
        <v>46314</v>
      </c>
      <c r="M98" s="18" t="n">
        <v>46321</v>
      </c>
      <c r="N98" s="3" t="inlineStr">
        <is>
          <t>exception</t>
        </is>
      </c>
      <c r="O98" s="3" t="inlineStr"/>
    </row>
    <row r="99">
      <c r="A99" s="3" t="inlineStr">
        <is>
          <t>ACT-0098</t>
        </is>
      </c>
      <c r="B99" s="3" t="inlineStr">
        <is>
          <t>South Africa</t>
        </is>
      </c>
      <c r="C99" s="3" t="inlineStr">
        <is>
          <t>P2</t>
        </is>
      </c>
      <c r="D99" s="3" t="inlineStr">
        <is>
          <t>DATA_QUALITY</t>
        </is>
      </c>
      <c r="E99" s="3" t="inlineStr">
        <is>
          <t>FC_NULL</t>
        </is>
      </c>
      <c r="F99" s="3" t="inlineStr">
        <is>
          <t>Data Steward, South Africa</t>
        </is>
      </c>
      <c r="G99" s="3" t="inlineStr">
        <is>
          <t>Forecast row with missing quantity: 3 row(s)</t>
        </is>
      </c>
      <c r="H99" s="18" t="n">
        <v>46319</v>
      </c>
      <c r="I99" s="3" t="inlineStr">
        <is>
          <t>Open</t>
        </is>
      </c>
      <c r="J99" s="3" t="n">
        <v>2</v>
      </c>
      <c r="K99" s="3" t="n">
        <v>1</v>
      </c>
      <c r="L99" s="18" t="n">
        <v>46314</v>
      </c>
      <c r="M99" s="18" t="n">
        <v>46321</v>
      </c>
      <c r="N99" s="3" t="inlineStr">
        <is>
          <t>exception</t>
        </is>
      </c>
      <c r="O99" s="3" t="inlineStr"/>
    </row>
    <row r="100">
      <c r="A100" s="3" t="inlineStr">
        <is>
          <t>ACT-0099</t>
        </is>
      </c>
      <c r="B100" s="3" t="inlineStr">
        <is>
          <t>MENA-PAK</t>
        </is>
      </c>
      <c r="C100" s="3" t="inlineStr">
        <is>
          <t>P2</t>
        </is>
      </c>
      <c r="D100" s="3" t="inlineStr">
        <is>
          <t>DATA_QUALITY</t>
        </is>
      </c>
      <c r="E100" s="3" t="inlineStr">
        <is>
          <t>FC_HORIZON_GAP</t>
        </is>
      </c>
      <c r="F100" s="3" t="inlineStr">
        <is>
          <t>Data Steward, MENA-PAK</t>
        </is>
      </c>
      <c r="G100" s="3" t="inlineStr">
        <is>
          <t>SKU without forecast for every one of the next 8 weeks: 1 row(s)</t>
        </is>
      </c>
      <c r="H100" s="18" t="n">
        <v>46319</v>
      </c>
      <c r="I100" s="3" t="inlineStr">
        <is>
          <t>Open</t>
        </is>
      </c>
      <c r="J100" s="3" t="n">
        <v>2</v>
      </c>
      <c r="K100" s="3" t="n">
        <v>1</v>
      </c>
      <c r="L100" s="18" t="n">
        <v>46314</v>
      </c>
      <c r="M100" s="18" t="n">
        <v>46321</v>
      </c>
      <c r="N100" s="3" t="inlineStr">
        <is>
          <t>exception</t>
        </is>
      </c>
      <c r="O100" s="3" t="inlineStr"/>
    </row>
    <row r="101">
      <c r="A101" s="3" t="inlineStr">
        <is>
          <t>ACT-0100</t>
        </is>
      </c>
      <c r="B101" s="3" t="inlineStr">
        <is>
          <t>APAC</t>
        </is>
      </c>
      <c r="C101" s="3" t="inlineStr">
        <is>
          <t>P3</t>
        </is>
      </c>
      <c r="D101" s="3" t="inlineStr">
        <is>
          <t>DATA_QUALITY</t>
        </is>
      </c>
      <c r="E101" s="3" t="inlineStr">
        <is>
          <t>SALES_NEG</t>
        </is>
      </c>
      <c r="F101" s="3" t="inlineStr">
        <is>
          <t>Data Steward, APAC</t>
        </is>
      </c>
      <c r="G101" s="3" t="inlineStr">
        <is>
          <t>Negative units in sales actuals (returns not netted?): 1 row(s)</t>
        </is>
      </c>
      <c r="H101" s="18" t="n">
        <v>46324</v>
      </c>
      <c r="I101" s="3" t="inlineStr">
        <is>
          <t>Open</t>
        </is>
      </c>
      <c r="J101" s="3" t="n">
        <v>0</v>
      </c>
      <c r="K101" s="3" t="n">
        <v>0</v>
      </c>
      <c r="L101" s="18" t="n">
        <v>46314</v>
      </c>
      <c r="M101" s="18" t="n">
        <v>46321</v>
      </c>
      <c r="N101" s="3" t="inlineStr">
        <is>
          <t>exception</t>
        </is>
      </c>
      <c r="O101" s="3" t="inlineStr"/>
    </row>
    <row r="102">
      <c r="A102" s="3" t="inlineStr">
        <is>
          <t>ACT-0101</t>
        </is>
      </c>
      <c r="B102" s="3" t="inlineStr">
        <is>
          <t>India</t>
        </is>
      </c>
      <c r="C102" s="3" t="inlineStr">
        <is>
          <t>P3</t>
        </is>
      </c>
      <c r="D102" s="3" t="inlineStr">
        <is>
          <t>DATA_QUALITY</t>
        </is>
      </c>
      <c r="E102" s="3" t="inlineStr">
        <is>
          <t>SALES_NEG</t>
        </is>
      </c>
      <c r="F102" s="3" t="inlineStr">
        <is>
          <t>Data Steward, India</t>
        </is>
      </c>
      <c r="G102" s="3" t="inlineStr">
        <is>
          <t>Negative units in sales actuals (returns not netted?): 1 row(s)</t>
        </is>
      </c>
      <c r="H102" s="18" t="n">
        <v>46324</v>
      </c>
      <c r="I102" s="3" t="inlineStr">
        <is>
          <t>Open</t>
        </is>
      </c>
      <c r="J102" s="3" t="n">
        <v>0</v>
      </c>
      <c r="K102" s="3" t="n">
        <v>0</v>
      </c>
      <c r="L102" s="18" t="n">
        <v>46314</v>
      </c>
      <c r="M102" s="18" t="n">
        <v>46321</v>
      </c>
      <c r="N102" s="3" t="inlineStr">
        <is>
          <t>exception</t>
        </is>
      </c>
      <c r="O102" s="3" t="inlineStr"/>
    </row>
    <row r="103">
      <c r="A103" s="3" t="inlineStr">
        <is>
          <t>ACT-0102</t>
        </is>
      </c>
      <c r="B103" s="3" t="inlineStr">
        <is>
          <t>MENA-PAK</t>
        </is>
      </c>
      <c r="C103" s="3" t="inlineStr">
        <is>
          <t>P3</t>
        </is>
      </c>
      <c r="D103" s="3" t="inlineStr">
        <is>
          <t>DATA_QUALITY</t>
        </is>
      </c>
      <c r="E103" s="3" t="inlineStr">
        <is>
          <t>SALES_NEG</t>
        </is>
      </c>
      <c r="F103" s="3" t="inlineStr">
        <is>
          <t>Data Steward, MENA-PAK</t>
        </is>
      </c>
      <c r="G103" s="3" t="inlineStr">
        <is>
          <t>Negative units in sales actuals (returns not netted?): 1 row(s)</t>
        </is>
      </c>
      <c r="H103" s="18" t="n">
        <v>46324</v>
      </c>
      <c r="I103" s="3" t="inlineStr">
        <is>
          <t>Open</t>
        </is>
      </c>
      <c r="J103" s="3" t="n">
        <v>0</v>
      </c>
      <c r="K103" s="3" t="n">
        <v>0</v>
      </c>
      <c r="L103" s="18" t="n">
        <v>46314</v>
      </c>
      <c r="M103" s="18" t="n">
        <v>46321</v>
      </c>
      <c r="N103" s="3" t="inlineStr">
        <is>
          <t>exception</t>
        </is>
      </c>
      <c r="O103" s="3" t="inlineStr"/>
    </row>
    <row r="104">
      <c r="A104" s="3" t="inlineStr">
        <is>
          <t>ACT-0103</t>
        </is>
      </c>
      <c r="B104" s="3" t="inlineStr">
        <is>
          <t>South Africa</t>
        </is>
      </c>
      <c r="C104" s="3" t="inlineStr">
        <is>
          <t>P3</t>
        </is>
      </c>
      <c r="D104" s="3" t="inlineStr">
        <is>
          <t>DATA_QUALITY</t>
        </is>
      </c>
      <c r="E104" s="3" t="inlineStr">
        <is>
          <t>SALES_NEG</t>
        </is>
      </c>
      <c r="F104" s="3" t="inlineStr">
        <is>
          <t>Data Steward, South Africa</t>
        </is>
      </c>
      <c r="G104" s="3" t="inlineStr">
        <is>
          <t>Negative units in sales actuals (returns not netted?): 1 row(s)</t>
        </is>
      </c>
      <c r="H104" s="18" t="n">
        <v>46324</v>
      </c>
      <c r="I104" s="3" t="inlineStr">
        <is>
          <t>Open</t>
        </is>
      </c>
      <c r="J104" s="3" t="n">
        <v>0</v>
      </c>
      <c r="K104" s="3" t="n">
        <v>0</v>
      </c>
      <c r="L104" s="18" t="n">
        <v>46314</v>
      </c>
      <c r="M104" s="18" t="n">
        <v>46321</v>
      </c>
      <c r="N104" s="3" t="inlineStr">
        <is>
          <t>exception</t>
        </is>
      </c>
      <c r="O104" s="3" t="inlineStr"/>
    </row>
    <row r="105">
      <c r="A105" s="3" t="inlineStr">
        <is>
          <t>ACT-0104</t>
        </is>
      </c>
      <c r="B105" s="3" t="inlineStr">
        <is>
          <t>APAC</t>
        </is>
      </c>
      <c r="C105" s="3" t="inlineStr">
        <is>
          <t>P2</t>
        </is>
      </c>
      <c r="D105" s="3" t="inlineStr">
        <is>
          <t>DATA_QUALITY</t>
        </is>
      </c>
      <c r="E105" s="3" t="inlineStr">
        <is>
          <t>PO_DATE_ORDER</t>
        </is>
      </c>
      <c r="F105" s="3" t="inlineStr">
        <is>
          <t>Data Steward, APAC</t>
        </is>
      </c>
      <c r="G105" s="3" t="inlineStr">
        <is>
          <t>PO promised date earlier than order date: 2 row(s)</t>
        </is>
      </c>
      <c r="H105" s="18" t="n">
        <v>46319</v>
      </c>
      <c r="I105" s="3" t="inlineStr">
        <is>
          <t>Open</t>
        </is>
      </c>
      <c r="J105" s="3" t="n">
        <v>2</v>
      </c>
      <c r="K105" s="3" t="n">
        <v>1</v>
      </c>
      <c r="L105" s="18" t="n">
        <v>46314</v>
      </c>
      <c r="M105" s="18" t="n">
        <v>46321</v>
      </c>
      <c r="N105" s="3" t="inlineStr">
        <is>
          <t>exception</t>
        </is>
      </c>
      <c r="O105" s="3" t="inlineStr"/>
    </row>
    <row r="106">
      <c r="A106" s="3" t="inlineStr">
        <is>
          <t>ACT-0105</t>
        </is>
      </c>
      <c r="B106" s="3" t="inlineStr">
        <is>
          <t>India</t>
        </is>
      </c>
      <c r="C106" s="3" t="inlineStr">
        <is>
          <t>P2</t>
        </is>
      </c>
      <c r="D106" s="3" t="inlineStr">
        <is>
          <t>DATA_QUALITY</t>
        </is>
      </c>
      <c r="E106" s="3" t="inlineStr">
        <is>
          <t>PO_DATE_ORDER</t>
        </is>
      </c>
      <c r="F106" s="3" t="inlineStr">
        <is>
          <t>Data Steward, India</t>
        </is>
      </c>
      <c r="G106" s="3" t="inlineStr">
        <is>
          <t>PO promised date earlier than order date: 2 row(s)</t>
        </is>
      </c>
      <c r="H106" s="18" t="n">
        <v>46319</v>
      </c>
      <c r="I106" s="3" t="inlineStr">
        <is>
          <t>Open</t>
        </is>
      </c>
      <c r="J106" s="3" t="n">
        <v>2</v>
      </c>
      <c r="K106" s="3" t="n">
        <v>1</v>
      </c>
      <c r="L106" s="18" t="n">
        <v>46314</v>
      </c>
      <c r="M106" s="18" t="n">
        <v>46321</v>
      </c>
      <c r="N106" s="3" t="inlineStr">
        <is>
          <t>exception</t>
        </is>
      </c>
      <c r="O106" s="3" t="inlineStr"/>
    </row>
    <row r="107">
      <c r="A107" s="3" t="inlineStr">
        <is>
          <t>ACT-0106</t>
        </is>
      </c>
      <c r="B107" s="3" t="inlineStr">
        <is>
          <t>MENA-PAK</t>
        </is>
      </c>
      <c r="C107" s="3" t="inlineStr">
        <is>
          <t>P2</t>
        </is>
      </c>
      <c r="D107" s="3" t="inlineStr">
        <is>
          <t>DATA_QUALITY</t>
        </is>
      </c>
      <c r="E107" s="3" t="inlineStr">
        <is>
          <t>PO_DATE_ORDER</t>
        </is>
      </c>
      <c r="F107" s="3" t="inlineStr">
        <is>
          <t>Data Steward, MENA-PAK</t>
        </is>
      </c>
      <c r="G107" s="3" t="inlineStr">
        <is>
          <t>PO promised date earlier than order date: 2 row(s)</t>
        </is>
      </c>
      <c r="H107" s="18" t="n">
        <v>46319</v>
      </c>
      <c r="I107" s="3" t="inlineStr">
        <is>
          <t>Open</t>
        </is>
      </c>
      <c r="J107" s="3" t="n">
        <v>2</v>
      </c>
      <c r="K107" s="3" t="n">
        <v>1</v>
      </c>
      <c r="L107" s="18" t="n">
        <v>46314</v>
      </c>
      <c r="M107" s="18" t="n">
        <v>46321</v>
      </c>
      <c r="N107" s="3" t="inlineStr">
        <is>
          <t>exception</t>
        </is>
      </c>
      <c r="O107" s="3" t="inlineStr"/>
    </row>
    <row r="108">
      <c r="A108" s="3" t="inlineStr">
        <is>
          <t>ACT-0107</t>
        </is>
      </c>
      <c r="B108" s="3" t="inlineStr">
        <is>
          <t>South Africa</t>
        </is>
      </c>
      <c r="C108" s="3" t="inlineStr">
        <is>
          <t>P2</t>
        </is>
      </c>
      <c r="D108" s="3" t="inlineStr">
        <is>
          <t>DATA_QUALITY</t>
        </is>
      </c>
      <c r="E108" s="3" t="inlineStr">
        <is>
          <t>PO_DATE_ORDER</t>
        </is>
      </c>
      <c r="F108" s="3" t="inlineStr">
        <is>
          <t>Data Steward, South Africa</t>
        </is>
      </c>
      <c r="G108" s="3" t="inlineStr">
        <is>
          <t>PO promised date earlier than order date: 2 row(s)</t>
        </is>
      </c>
      <c r="H108" s="18" t="n">
        <v>46319</v>
      </c>
      <c r="I108" s="3" t="inlineStr">
        <is>
          <t>Open</t>
        </is>
      </c>
      <c r="J108" s="3" t="n">
        <v>2</v>
      </c>
      <c r="K108" s="3" t="n">
        <v>1</v>
      </c>
      <c r="L108" s="18" t="n">
        <v>46314</v>
      </c>
      <c r="M108" s="18" t="n">
        <v>46321</v>
      </c>
      <c r="N108" s="3" t="inlineStr">
        <is>
          <t>exception</t>
        </is>
      </c>
      <c r="O108" s="3" t="inlineStr"/>
    </row>
    <row r="109">
      <c r="A109" s="3" t="inlineStr">
        <is>
          <t>ACT-0108</t>
        </is>
      </c>
      <c r="B109" s="3" t="inlineStr">
        <is>
          <t>APAC</t>
        </is>
      </c>
      <c r="C109" s="3" t="inlineStr">
        <is>
          <t>P1</t>
        </is>
      </c>
      <c r="D109" s="3" t="inlineStr">
        <is>
          <t>DATA_QUALITY</t>
        </is>
      </c>
      <c r="E109" s="3" t="inlineStr">
        <is>
          <t>PO_ORPHAN</t>
        </is>
      </c>
      <c r="F109" s="3" t="inlineStr">
        <is>
          <t>Data Steward, APAC</t>
        </is>
      </c>
      <c r="G109" s="3" t="inlineStr">
        <is>
          <t>PO references a SKU that is not in the inventory master: 2 row(s)</t>
        </is>
      </c>
      <c r="H109" s="18" t="n">
        <v>46316</v>
      </c>
      <c r="I109" s="3" t="inlineStr">
        <is>
          <t>Open</t>
        </is>
      </c>
      <c r="J109" s="3" t="n">
        <v>5</v>
      </c>
      <c r="K109" s="3" t="n">
        <v>2</v>
      </c>
      <c r="L109" s="18" t="n">
        <v>46314</v>
      </c>
      <c r="M109" s="18" t="n">
        <v>46321</v>
      </c>
      <c r="N109" s="3" t="inlineStr">
        <is>
          <t>exception</t>
        </is>
      </c>
      <c r="O109" s="3" t="inlineStr"/>
    </row>
    <row r="110">
      <c r="A110" s="3" t="inlineStr">
        <is>
          <t>ACT-0109</t>
        </is>
      </c>
      <c r="B110" s="3" t="inlineStr">
        <is>
          <t>India</t>
        </is>
      </c>
      <c r="C110" s="3" t="inlineStr">
        <is>
          <t>P1</t>
        </is>
      </c>
      <c r="D110" s="3" t="inlineStr">
        <is>
          <t>DATA_QUALITY</t>
        </is>
      </c>
      <c r="E110" s="3" t="inlineStr">
        <is>
          <t>PO_ORPHAN</t>
        </is>
      </c>
      <c r="F110" s="3" t="inlineStr">
        <is>
          <t>Data Steward, India</t>
        </is>
      </c>
      <c r="G110" s="3" t="inlineStr">
        <is>
          <t>PO references a SKU that is not in the inventory master: 2 row(s)</t>
        </is>
      </c>
      <c r="H110" s="18" t="n">
        <v>46316</v>
      </c>
      <c r="I110" s="3" t="inlineStr">
        <is>
          <t>Open</t>
        </is>
      </c>
      <c r="J110" s="3" t="n">
        <v>5</v>
      </c>
      <c r="K110" s="3" t="n">
        <v>2</v>
      </c>
      <c r="L110" s="18" t="n">
        <v>46314</v>
      </c>
      <c r="M110" s="18" t="n">
        <v>46321</v>
      </c>
      <c r="N110" s="3" t="inlineStr">
        <is>
          <t>exception</t>
        </is>
      </c>
      <c r="O110" s="3" t="inlineStr"/>
    </row>
    <row r="111">
      <c r="A111" s="3" t="inlineStr">
        <is>
          <t>ACT-0110</t>
        </is>
      </c>
      <c r="B111" s="3" t="inlineStr">
        <is>
          <t>MENA-PAK</t>
        </is>
      </c>
      <c r="C111" s="3" t="inlineStr">
        <is>
          <t>P1</t>
        </is>
      </c>
      <c r="D111" s="3" t="inlineStr">
        <is>
          <t>DATA_QUALITY</t>
        </is>
      </c>
      <c r="E111" s="3" t="inlineStr">
        <is>
          <t>PO_ORPHAN</t>
        </is>
      </c>
      <c r="F111" s="3" t="inlineStr">
        <is>
          <t>Data Steward, MENA-PAK</t>
        </is>
      </c>
      <c r="G111" s="3" t="inlineStr">
        <is>
          <t>PO references a SKU that is not in the inventory master: 2 row(s)</t>
        </is>
      </c>
      <c r="H111" s="18" t="n">
        <v>46316</v>
      </c>
      <c r="I111" s="3" t="inlineStr">
        <is>
          <t>Open</t>
        </is>
      </c>
      <c r="J111" s="3" t="n">
        <v>5</v>
      </c>
      <c r="K111" s="3" t="n">
        <v>2</v>
      </c>
      <c r="L111" s="18" t="n">
        <v>46314</v>
      </c>
      <c r="M111" s="18" t="n">
        <v>46321</v>
      </c>
      <c r="N111" s="3" t="inlineStr">
        <is>
          <t>exception</t>
        </is>
      </c>
      <c r="O111" s="3" t="inlineStr"/>
    </row>
    <row r="112">
      <c r="A112" s="3" t="inlineStr">
        <is>
          <t>ACT-0111</t>
        </is>
      </c>
      <c r="B112" s="3" t="inlineStr">
        <is>
          <t>South Africa</t>
        </is>
      </c>
      <c r="C112" s="3" t="inlineStr">
        <is>
          <t>P1</t>
        </is>
      </c>
      <c r="D112" s="3" t="inlineStr">
        <is>
          <t>DATA_QUALITY</t>
        </is>
      </c>
      <c r="E112" s="3" t="inlineStr">
        <is>
          <t>PO_ORPHAN</t>
        </is>
      </c>
      <c r="F112" s="3" t="inlineStr">
        <is>
          <t>Data Steward, South Africa</t>
        </is>
      </c>
      <c r="G112" s="3" t="inlineStr">
        <is>
          <t>PO references a SKU that is not in the inventory master: 2 row(s)</t>
        </is>
      </c>
      <c r="H112" s="18" t="n">
        <v>46316</v>
      </c>
      <c r="I112" s="3" t="inlineStr">
        <is>
          <t>Open</t>
        </is>
      </c>
      <c r="J112" s="3" t="n">
        <v>5</v>
      </c>
      <c r="K112" s="3" t="n">
        <v>2</v>
      </c>
      <c r="L112" s="18" t="n">
        <v>46314</v>
      </c>
      <c r="M112" s="18" t="n">
        <v>46321</v>
      </c>
      <c r="N112" s="3" t="inlineStr">
        <is>
          <t>exception</t>
        </is>
      </c>
      <c r="O112" s="3" t="inlineStr"/>
    </row>
    <row r="113">
      <c r="A113" s="3" t="inlineStr">
        <is>
          <t>ACT-0112</t>
        </is>
      </c>
      <c r="B113" s="3" t="inlineStr">
        <is>
          <t>India</t>
        </is>
      </c>
      <c r="C113" s="3" t="inlineStr">
        <is>
          <t>P3</t>
        </is>
      </c>
      <c r="D113" s="3" t="inlineStr">
        <is>
          <t>FORECAST_DIVERGENCE</t>
        </is>
      </c>
      <c r="E113" s="3" t="inlineStr">
        <is>
          <t>IN-NET-035</t>
        </is>
      </c>
      <c r="F113" s="3" t="inlineStr">
        <is>
          <t>Demand Planner, India</t>
        </is>
      </c>
      <c r="G113" s="3" t="inlineStr">
        <is>
          <t>System 4-week forecast 1143 vs ML baseline 742 (+54%)</t>
        </is>
      </c>
      <c r="H113" s="18" t="n">
        <v>46324</v>
      </c>
      <c r="I113" s="3" t="inlineStr">
        <is>
          <t>Resolved-Verify</t>
        </is>
      </c>
      <c r="J113" s="3" t="n">
        <v>0</v>
      </c>
      <c r="K113" s="3" t="n">
        <v>0</v>
      </c>
      <c r="L113" s="18" t="n">
        <v>46314</v>
      </c>
      <c r="M113" s="18" t="n">
        <v>46314</v>
      </c>
      <c r="N113" s="3" t="inlineStr">
        <is>
          <t>exception</t>
        </is>
      </c>
      <c r="O113" s="3" t="inlineStr">
        <is>
          <t>Not flagged in run 2026-10-26; owner to confirm and close</t>
        </is>
      </c>
    </row>
    <row r="114">
      <c r="A114" s="3" t="inlineStr">
        <is>
          <t>ACT-0113</t>
        </is>
      </c>
      <c r="B114" s="3" t="inlineStr">
        <is>
          <t>India</t>
        </is>
      </c>
      <c r="C114" s="3" t="inlineStr">
        <is>
          <t>P3</t>
        </is>
      </c>
      <c r="D114" s="3" t="inlineStr">
        <is>
          <t>FORECAST_DIVERGENCE</t>
        </is>
      </c>
      <c r="E114" s="3" t="inlineStr">
        <is>
          <t>IN-DEV-005</t>
        </is>
      </c>
      <c r="F114" s="3" t="inlineStr">
        <is>
          <t>Demand Planner, India</t>
        </is>
      </c>
      <c r="G114" s="3" t="inlineStr">
        <is>
          <t>System 4-week forecast 369 vs ML baseline 265 (+39%)</t>
        </is>
      </c>
      <c r="H114" s="18" t="n">
        <v>46324</v>
      </c>
      <c r="I114" s="3" t="inlineStr">
        <is>
          <t>Resolved-Verify</t>
        </is>
      </c>
      <c r="J114" s="3" t="n">
        <v>0</v>
      </c>
      <c r="K114" s="3" t="n">
        <v>0</v>
      </c>
      <c r="L114" s="18" t="n">
        <v>46314</v>
      </c>
      <c r="M114" s="18" t="n">
        <v>46314</v>
      </c>
      <c r="N114" s="3" t="inlineStr">
        <is>
          <t>exception</t>
        </is>
      </c>
      <c r="O114" s="3" t="inlineStr">
        <is>
          <t>Not flagged in run 2026-10-26; owner to confirm and close</t>
        </is>
      </c>
    </row>
    <row r="115">
      <c r="A115" s="3" t="inlineStr">
        <is>
          <t>ACT-0114</t>
        </is>
      </c>
      <c r="B115" s="3" t="inlineStr">
        <is>
          <t>APAC</t>
        </is>
      </c>
      <c r="C115" s="3" t="inlineStr">
        <is>
          <t>P2</t>
        </is>
      </c>
      <c r="D115" s="3" t="inlineStr">
        <is>
          <t>MEETING</t>
        </is>
      </c>
      <c r="E115" s="3" t="inlineStr">
        <is>
          <t>2026-10-26</t>
        </is>
      </c>
      <c r="F115" s="3" t="inlineStr">
        <is>
          <t>Procurement Lead, APAC</t>
        </is>
      </c>
      <c r="G115" s="3" t="inlineStr">
        <is>
          <t>Get re-promised dates for all APAC POs more than 14 days late</t>
        </is>
      </c>
      <c r="H115" s="18" t="n">
        <v>46325</v>
      </c>
      <c r="I115" s="3" t="inlineStr">
        <is>
          <t>Open</t>
        </is>
      </c>
      <c r="J115" s="3" t="n">
        <v>0</v>
      </c>
      <c r="K115" s="3" t="n">
        <v>0</v>
      </c>
      <c r="L115" s="18" t="n">
        <v>46321</v>
      </c>
      <c r="M115" s="18" t="n">
        <v>46321</v>
      </c>
      <c r="N115" s="3" t="inlineStr">
        <is>
          <t>meeting</t>
        </is>
      </c>
      <c r="O115" s="3" t="inlineStr"/>
    </row>
    <row r="116">
      <c r="A116" s="3" t="inlineStr">
        <is>
          <t>ACT-0115</t>
        </is>
      </c>
      <c r="B116" s="3" t="inlineStr">
        <is>
          <t>India</t>
        </is>
      </c>
      <c r="C116" s="3" t="inlineStr">
        <is>
          <t>P2</t>
        </is>
      </c>
      <c r="D116" s="3" t="inlineStr">
        <is>
          <t>MEETING</t>
        </is>
      </c>
      <c r="E116" s="3" t="inlineStr">
        <is>
          <t>2026-10-26</t>
        </is>
      </c>
      <c r="F116" s="3" t="inlineStr">
        <is>
          <t>Demand Planner, India</t>
        </is>
      </c>
      <c r="G116" s="3" t="inlineStr">
        <is>
          <t>Review the five largest India forecast biases with category owners</t>
        </is>
      </c>
      <c r="H116" s="18" t="n">
        <v>46330</v>
      </c>
      <c r="I116" s="3" t="inlineStr">
        <is>
          <t>Open</t>
        </is>
      </c>
      <c r="J116" s="3" t="n">
        <v>0</v>
      </c>
      <c r="K116" s="3" t="n">
        <v>0</v>
      </c>
      <c r="L116" s="18" t="n">
        <v>46321</v>
      </c>
      <c r="M116" s="18" t="n">
        <v>46321</v>
      </c>
      <c r="N116" s="3" t="inlineStr">
        <is>
          <t>meeting</t>
        </is>
      </c>
      <c r="O116" s="3" t="inlineStr"/>
    </row>
    <row r="117">
      <c r="A117" s="3" t="inlineStr">
        <is>
          <t>ACT-0116</t>
        </is>
      </c>
      <c r="B117" s="3" t="inlineStr">
        <is>
          <t>India</t>
        </is>
      </c>
      <c r="C117" s="3" t="inlineStr">
        <is>
          <t>P1</t>
        </is>
      </c>
      <c r="D117" s="3" t="inlineStr">
        <is>
          <t>STOCKOUT_RISK</t>
        </is>
      </c>
      <c r="E117" s="3" t="inlineStr">
        <is>
          <t>IN-STO-016</t>
        </is>
      </c>
      <c r="F117" s="3" t="inlineStr">
        <is>
          <t>Supply Planner, India</t>
        </is>
      </c>
      <c r="G117" s="3" t="inlineStr">
        <is>
          <t>Projected stockout in week 2 of 8 (lead time 14 d, cover 11.0 d)</t>
        </is>
      </c>
      <c r="H117" s="18" t="n">
        <v>46323</v>
      </c>
      <c r="I117" s="3" t="inlineStr">
        <is>
          <t>Open</t>
        </is>
      </c>
      <c r="J117" s="3" t="n">
        <v>0</v>
      </c>
      <c r="K117" s="3" t="n">
        <v>0</v>
      </c>
      <c r="L117" s="18" t="n">
        <v>46321</v>
      </c>
      <c r="M117" s="18" t="n">
        <v>46321</v>
      </c>
      <c r="N117" s="3" t="inlineStr">
        <is>
          <t>exception</t>
        </is>
      </c>
      <c r="O117" s="3" t="inlineStr"/>
    </row>
    <row r="118">
      <c r="A118" s="3" t="inlineStr">
        <is>
          <t>ACT-0117</t>
        </is>
      </c>
      <c r="B118" s="3" t="inlineStr">
        <is>
          <t>India</t>
        </is>
      </c>
      <c r="C118" s="3" t="inlineStr">
        <is>
          <t>P1</t>
        </is>
      </c>
      <c r="D118" s="3" t="inlineStr">
        <is>
          <t>STOCKOUT_RISK</t>
        </is>
      </c>
      <c r="E118" s="3" t="inlineStr">
        <is>
          <t>IN-NET-031</t>
        </is>
      </c>
      <c r="F118" s="3" t="inlineStr">
        <is>
          <t>Supply Planner, India</t>
        </is>
      </c>
      <c r="G118" s="3" t="inlineStr">
        <is>
          <t>Projected stockout in week 2 of 8 (lead time 29 d, cover 11.0 d)</t>
        </is>
      </c>
      <c r="H118" s="18" t="n">
        <v>46323</v>
      </c>
      <c r="I118" s="3" t="inlineStr">
        <is>
          <t>Open</t>
        </is>
      </c>
      <c r="J118" s="3" t="n">
        <v>0</v>
      </c>
      <c r="K118" s="3" t="n">
        <v>0</v>
      </c>
      <c r="L118" s="18" t="n">
        <v>46321</v>
      </c>
      <c r="M118" s="18" t="n">
        <v>46321</v>
      </c>
      <c r="N118" s="3" t="inlineStr">
        <is>
          <t>exception</t>
        </is>
      </c>
      <c r="O118" s="3" t="inlineStr"/>
    </row>
    <row r="119">
      <c r="A119" s="3" t="inlineStr">
        <is>
          <t>ACT-0118</t>
        </is>
      </c>
      <c r="B119" s="3" t="inlineStr">
        <is>
          <t>South Africa</t>
        </is>
      </c>
      <c r="C119" s="3" t="inlineStr">
        <is>
          <t>P2</t>
        </is>
      </c>
      <c r="D119" s="3" t="inlineStr">
        <is>
          <t>STOCKOUT_RISK</t>
        </is>
      </c>
      <c r="E119" s="3" t="inlineStr">
        <is>
          <t>ZA-NET-003</t>
        </is>
      </c>
      <c r="F119" s="3" t="inlineStr">
        <is>
          <t>Supply Planner, South Africa</t>
        </is>
      </c>
      <c r="G119" s="3" t="inlineStr">
        <is>
          <t>Projected stockout in week 7 of 8 (lead time 36 d, cover 44.0 d)</t>
        </is>
      </c>
      <c r="H119" s="18" t="n">
        <v>46326</v>
      </c>
      <c r="I119" s="3" t="inlineStr">
        <is>
          <t>Open</t>
        </is>
      </c>
      <c r="J119" s="3" t="n">
        <v>0</v>
      </c>
      <c r="K119" s="3" t="n">
        <v>0</v>
      </c>
      <c r="L119" s="18" t="n">
        <v>46321</v>
      </c>
      <c r="M119" s="18" t="n">
        <v>46321</v>
      </c>
      <c r="N119" s="3" t="inlineStr">
        <is>
          <t>exception</t>
        </is>
      </c>
      <c r="O119" s="3" t="inlineStr"/>
    </row>
    <row r="120">
      <c r="A120" s="3" t="inlineStr">
        <is>
          <t>ACT-0119</t>
        </is>
      </c>
      <c r="B120" s="3" t="inlineStr">
        <is>
          <t>APAC</t>
        </is>
      </c>
      <c r="C120" s="3" t="inlineStr">
        <is>
          <t>P2</t>
        </is>
      </c>
      <c r="D120" s="3" t="inlineStr">
        <is>
          <t>STOCKOUT_RISK</t>
        </is>
      </c>
      <c r="E120" s="3" t="inlineStr">
        <is>
          <t>AP-NET-003</t>
        </is>
      </c>
      <c r="F120" s="3" t="inlineStr">
        <is>
          <t>Supply Planner, APAC</t>
        </is>
      </c>
      <c r="G120" s="3" t="inlineStr">
        <is>
          <t>Projected stockout in week 5 of 8 (lead time 21 d, cover 16.0 d)</t>
        </is>
      </c>
      <c r="H120" s="18" t="n">
        <v>46326</v>
      </c>
      <c r="I120" s="3" t="inlineStr">
        <is>
          <t>Open</t>
        </is>
      </c>
      <c r="J120" s="3" t="n">
        <v>0</v>
      </c>
      <c r="K120" s="3" t="n">
        <v>0</v>
      </c>
      <c r="L120" s="18" t="n">
        <v>46321</v>
      </c>
      <c r="M120" s="18" t="n">
        <v>46321</v>
      </c>
      <c r="N120" s="3" t="inlineStr">
        <is>
          <t>exception</t>
        </is>
      </c>
      <c r="O120" s="3" t="inlineStr"/>
    </row>
    <row r="121">
      <c r="A121" s="3" t="inlineStr">
        <is>
          <t>ACT-0120</t>
        </is>
      </c>
      <c r="B121" s="3" t="inlineStr">
        <is>
          <t>India</t>
        </is>
      </c>
      <c r="C121" s="3" t="inlineStr">
        <is>
          <t>P1</t>
        </is>
      </c>
      <c r="D121" s="3" t="inlineStr">
        <is>
          <t>STOCKOUT_RISK</t>
        </is>
      </c>
      <c r="E121" s="3" t="inlineStr">
        <is>
          <t>IN-STO-036</t>
        </is>
      </c>
      <c r="F121" s="3" t="inlineStr">
        <is>
          <t>Supply Planner, India</t>
        </is>
      </c>
      <c r="G121" s="3" t="inlineStr">
        <is>
          <t>Projected stockout in week 2 of 8 (lead time 14 d, cover 12.0 d)</t>
        </is>
      </c>
      <c r="H121" s="18" t="n">
        <v>46323</v>
      </c>
      <c r="I121" s="3" t="inlineStr">
        <is>
          <t>Open</t>
        </is>
      </c>
      <c r="J121" s="3" t="n">
        <v>0</v>
      </c>
      <c r="K121" s="3" t="n">
        <v>0</v>
      </c>
      <c r="L121" s="18" t="n">
        <v>46321</v>
      </c>
      <c r="M121" s="18" t="n">
        <v>46321</v>
      </c>
      <c r="N121" s="3" t="inlineStr">
        <is>
          <t>exception</t>
        </is>
      </c>
      <c r="O121" s="3" t="inlineStr"/>
    </row>
    <row r="122">
      <c r="A122" s="3" t="inlineStr">
        <is>
          <t>ACT-0121</t>
        </is>
      </c>
      <c r="B122" s="3" t="inlineStr">
        <is>
          <t>APAC</t>
        </is>
      </c>
      <c r="C122" s="3" t="inlineStr">
        <is>
          <t>P1</t>
        </is>
      </c>
      <c r="D122" s="3" t="inlineStr">
        <is>
          <t>STOCKOUT_RISK</t>
        </is>
      </c>
      <c r="E122" s="3" t="inlineStr">
        <is>
          <t>AP-NET-015</t>
        </is>
      </c>
      <c r="F122" s="3" t="inlineStr">
        <is>
          <t>Supply Planner, APAC</t>
        </is>
      </c>
      <c r="G122" s="3" t="inlineStr">
        <is>
          <t>Projected stockout in week 4 of 8 (lead time 28 d, cover 11.0 d)</t>
        </is>
      </c>
      <c r="H122" s="18" t="n">
        <v>46323</v>
      </c>
      <c r="I122" s="3" t="inlineStr">
        <is>
          <t>Open</t>
        </is>
      </c>
      <c r="J122" s="3" t="n">
        <v>0</v>
      </c>
      <c r="K122" s="3" t="n">
        <v>0</v>
      </c>
      <c r="L122" s="18" t="n">
        <v>46321</v>
      </c>
      <c r="M122" s="18" t="n">
        <v>46321</v>
      </c>
      <c r="N122" s="3" t="inlineStr">
        <is>
          <t>exception</t>
        </is>
      </c>
      <c r="O122" s="3" t="inlineStr"/>
    </row>
    <row r="123">
      <c r="A123" s="3" t="inlineStr">
        <is>
          <t>ACT-0122</t>
        </is>
      </c>
      <c r="B123" s="3" t="inlineStr">
        <is>
          <t>India</t>
        </is>
      </c>
      <c r="C123" s="3" t="inlineStr">
        <is>
          <t>P1</t>
        </is>
      </c>
      <c r="D123" s="3" t="inlineStr">
        <is>
          <t>STOCKOUT_RISK</t>
        </is>
      </c>
      <c r="E123" s="3" t="inlineStr">
        <is>
          <t>IN-STO-004</t>
        </is>
      </c>
      <c r="F123" s="3" t="inlineStr">
        <is>
          <t>Supply Planner, India</t>
        </is>
      </c>
      <c r="G123" s="3" t="inlineStr">
        <is>
          <t>Projected stockout in week 2 of 8 (lead time 16 d, cover 10.0 d)</t>
        </is>
      </c>
      <c r="H123" s="18" t="n">
        <v>46323</v>
      </c>
      <c r="I123" s="3" t="inlineStr">
        <is>
          <t>Open</t>
        </is>
      </c>
      <c r="J123" s="3" t="n">
        <v>0</v>
      </c>
      <c r="K123" s="3" t="n">
        <v>0</v>
      </c>
      <c r="L123" s="18" t="n">
        <v>46321</v>
      </c>
      <c r="M123" s="18" t="n">
        <v>46321</v>
      </c>
      <c r="N123" s="3" t="inlineStr">
        <is>
          <t>exception</t>
        </is>
      </c>
      <c r="O123" s="3" t="inlineStr"/>
    </row>
    <row r="124">
      <c r="A124" s="3" t="inlineStr">
        <is>
          <t>ACT-0123</t>
        </is>
      </c>
      <c r="B124" s="3" t="inlineStr">
        <is>
          <t>MENA-PAK</t>
        </is>
      </c>
      <c r="C124" s="3" t="inlineStr">
        <is>
          <t>P2</t>
        </is>
      </c>
      <c r="D124" s="3" t="inlineStr">
        <is>
          <t>STOCKOUT_RISK</t>
        </is>
      </c>
      <c r="E124" s="3" t="inlineStr">
        <is>
          <t>MP-STO-016</t>
        </is>
      </c>
      <c r="F124" s="3" t="inlineStr">
        <is>
          <t>Supply Planner, MENA-PAK</t>
        </is>
      </c>
      <c r="G124" s="3" t="inlineStr">
        <is>
          <t>Projected stockout in week 6 of 8 (lead time 27 d, cover 27.0 d)</t>
        </is>
      </c>
      <c r="H124" s="18" t="n">
        <v>46326</v>
      </c>
      <c r="I124" s="3" t="inlineStr">
        <is>
          <t>Open</t>
        </is>
      </c>
      <c r="J124" s="3" t="n">
        <v>0</v>
      </c>
      <c r="K124" s="3" t="n">
        <v>0</v>
      </c>
      <c r="L124" s="18" t="n">
        <v>46321</v>
      </c>
      <c r="M124" s="18" t="n">
        <v>46321</v>
      </c>
      <c r="N124" s="3" t="inlineStr">
        <is>
          <t>exception</t>
        </is>
      </c>
      <c r="O124" s="3" t="inlineStr"/>
    </row>
    <row r="125">
      <c r="A125" s="3" t="inlineStr">
        <is>
          <t>ACT-0124</t>
        </is>
      </c>
      <c r="B125" s="3" t="inlineStr">
        <is>
          <t>APAC</t>
        </is>
      </c>
      <c r="C125" s="3" t="inlineStr">
        <is>
          <t>P1</t>
        </is>
      </c>
      <c r="D125" s="3" t="inlineStr">
        <is>
          <t>STOCKOUT_RISK</t>
        </is>
      </c>
      <c r="E125" s="3" t="inlineStr">
        <is>
          <t>AP-NET-007</t>
        </is>
      </c>
      <c r="F125" s="3" t="inlineStr">
        <is>
          <t>Supply Planner, APAC</t>
        </is>
      </c>
      <c r="G125" s="3" t="inlineStr">
        <is>
          <t>Projected stockout in week 2 of 8 (lead time 28 d, cover 13.0 d)</t>
        </is>
      </c>
      <c r="H125" s="18" t="n">
        <v>46323</v>
      </c>
      <c r="I125" s="3" t="inlineStr">
        <is>
          <t>Open</t>
        </is>
      </c>
      <c r="J125" s="3" t="n">
        <v>0</v>
      </c>
      <c r="K125" s="3" t="n">
        <v>0</v>
      </c>
      <c r="L125" s="18" t="n">
        <v>46321</v>
      </c>
      <c r="M125" s="18" t="n">
        <v>46321</v>
      </c>
      <c r="N125" s="3" t="inlineStr">
        <is>
          <t>exception</t>
        </is>
      </c>
      <c r="O125" s="3" t="inlineStr"/>
    </row>
    <row r="126">
      <c r="A126" s="3" t="inlineStr">
        <is>
          <t>ACT-0125</t>
        </is>
      </c>
      <c r="B126" s="3" t="inlineStr">
        <is>
          <t>APAC</t>
        </is>
      </c>
      <c r="C126" s="3" t="inlineStr">
        <is>
          <t>P2</t>
        </is>
      </c>
      <c r="D126" s="3" t="inlineStr">
        <is>
          <t>STOCKOUT_RISK</t>
        </is>
      </c>
      <c r="E126" s="3" t="inlineStr">
        <is>
          <t>AP-DEV-037</t>
        </is>
      </c>
      <c r="F126" s="3" t="inlineStr">
        <is>
          <t>Supply Planner, APAC</t>
        </is>
      </c>
      <c r="G126" s="3" t="inlineStr">
        <is>
          <t>Projected stockout in week 5 of 8 (lead time 20 d, cover 17.0 d)</t>
        </is>
      </c>
      <c r="H126" s="18" t="n">
        <v>46326</v>
      </c>
      <c r="I126" s="3" t="inlineStr">
        <is>
          <t>Open</t>
        </is>
      </c>
      <c r="J126" s="3" t="n">
        <v>0</v>
      </c>
      <c r="K126" s="3" t="n">
        <v>0</v>
      </c>
      <c r="L126" s="18" t="n">
        <v>46321</v>
      </c>
      <c r="M126" s="18" t="n">
        <v>46321</v>
      </c>
      <c r="N126" s="3" t="inlineStr">
        <is>
          <t>exception</t>
        </is>
      </c>
      <c r="O126" s="3" t="inlineStr"/>
    </row>
    <row r="127">
      <c r="A127" s="3" t="inlineStr">
        <is>
          <t>ACT-0126</t>
        </is>
      </c>
      <c r="B127" s="3" t="inlineStr">
        <is>
          <t>India</t>
        </is>
      </c>
      <c r="C127" s="3" t="inlineStr">
        <is>
          <t>P1</t>
        </is>
      </c>
      <c r="D127" s="3" t="inlineStr">
        <is>
          <t>STOCKOUT_RISK</t>
        </is>
      </c>
      <c r="E127" s="3" t="inlineStr">
        <is>
          <t>IN-DEV-017</t>
        </is>
      </c>
      <c r="F127" s="3" t="inlineStr">
        <is>
          <t>Supply Planner, India</t>
        </is>
      </c>
      <c r="G127" s="3" t="inlineStr">
        <is>
          <t>Projected stockout in week 1 of 8 (lead time 12 d, cover 6.0 d)</t>
        </is>
      </c>
      <c r="H127" s="18" t="n">
        <v>46323</v>
      </c>
      <c r="I127" s="3" t="inlineStr">
        <is>
          <t>Open</t>
        </is>
      </c>
      <c r="J127" s="3" t="n">
        <v>0</v>
      </c>
      <c r="K127" s="3" t="n">
        <v>0</v>
      </c>
      <c r="L127" s="18" t="n">
        <v>46321</v>
      </c>
      <c r="M127" s="18" t="n">
        <v>46321</v>
      </c>
      <c r="N127" s="3" t="inlineStr">
        <is>
          <t>exception</t>
        </is>
      </c>
      <c r="O127" s="3" t="inlineStr"/>
    </row>
    <row r="128">
      <c r="A128" s="3" t="inlineStr">
        <is>
          <t>ACT-0127</t>
        </is>
      </c>
      <c r="B128" s="3" t="inlineStr">
        <is>
          <t>APAC</t>
        </is>
      </c>
      <c r="C128" s="3" t="inlineStr">
        <is>
          <t>P2</t>
        </is>
      </c>
      <c r="D128" s="3" t="inlineStr">
        <is>
          <t>STOCKOUT_RISK</t>
        </is>
      </c>
      <c r="E128" s="3" t="inlineStr">
        <is>
          <t>AP-DEV-013</t>
        </is>
      </c>
      <c r="F128" s="3" t="inlineStr">
        <is>
          <t>Supply Planner, APAC</t>
        </is>
      </c>
      <c r="G128" s="3" t="inlineStr">
        <is>
          <t>Projected stockout in week 4 of 8 (lead time 15 d, cover 18.0 d)</t>
        </is>
      </c>
      <c r="H128" s="18" t="n">
        <v>46326</v>
      </c>
      <c r="I128" s="3" t="inlineStr">
        <is>
          <t>Open</t>
        </is>
      </c>
      <c r="J128" s="3" t="n">
        <v>0</v>
      </c>
      <c r="K128" s="3" t="n">
        <v>0</v>
      </c>
      <c r="L128" s="18" t="n">
        <v>46321</v>
      </c>
      <c r="M128" s="18" t="n">
        <v>46321</v>
      </c>
      <c r="N128" s="3" t="inlineStr">
        <is>
          <t>exception</t>
        </is>
      </c>
      <c r="O128" s="3" t="inlineStr"/>
    </row>
    <row r="129">
      <c r="A129" s="3" t="inlineStr">
        <is>
          <t>ACT-0128</t>
        </is>
      </c>
      <c r="B129" s="3" t="inlineStr">
        <is>
          <t>MENA-PAK</t>
        </is>
      </c>
      <c r="C129" s="3" t="inlineStr">
        <is>
          <t>P1</t>
        </is>
      </c>
      <c r="D129" s="3" t="inlineStr">
        <is>
          <t>STOCKOUT_RISK</t>
        </is>
      </c>
      <c r="E129" s="3" t="inlineStr">
        <is>
          <t>MP-STO-028</t>
        </is>
      </c>
      <c r="F129" s="3" t="inlineStr">
        <is>
          <t>Supply Planner, MENA-PAK</t>
        </is>
      </c>
      <c r="G129" s="3" t="inlineStr">
        <is>
          <t>Projected stockout in week 7 of 8 (lead time 50 d, cover 30.0 d)</t>
        </is>
      </c>
      <c r="H129" s="18" t="n">
        <v>46323</v>
      </c>
      <c r="I129" s="3" t="inlineStr">
        <is>
          <t>Open</t>
        </is>
      </c>
      <c r="J129" s="3" t="n">
        <v>0</v>
      </c>
      <c r="K129" s="3" t="n">
        <v>0</v>
      </c>
      <c r="L129" s="18" t="n">
        <v>46321</v>
      </c>
      <c r="M129" s="18" t="n">
        <v>46321</v>
      </c>
      <c r="N129" s="3" t="inlineStr">
        <is>
          <t>exception</t>
        </is>
      </c>
      <c r="O129" s="3" t="inlineStr"/>
    </row>
    <row r="130">
      <c r="A130" s="3" t="inlineStr">
        <is>
          <t>ACT-0129</t>
        </is>
      </c>
      <c r="B130" s="3" t="inlineStr">
        <is>
          <t>India</t>
        </is>
      </c>
      <c r="C130" s="3" t="inlineStr">
        <is>
          <t>P2</t>
        </is>
      </c>
      <c r="D130" s="3" t="inlineStr">
        <is>
          <t>STOCKOUT_RISK</t>
        </is>
      </c>
      <c r="E130" s="3" t="inlineStr">
        <is>
          <t>IN-DEV-013</t>
        </is>
      </c>
      <c r="F130" s="3" t="inlineStr">
        <is>
          <t>Supply Planner, India</t>
        </is>
      </c>
      <c r="G130" s="3" t="inlineStr">
        <is>
          <t>Projected stockout in week 5 of 8 (lead time 19 d, cover 21.0 d)</t>
        </is>
      </c>
      <c r="H130" s="18" t="n">
        <v>46326</v>
      </c>
      <c r="I130" s="3" t="inlineStr">
        <is>
          <t>Open</t>
        </is>
      </c>
      <c r="J130" s="3" t="n">
        <v>0</v>
      </c>
      <c r="K130" s="3" t="n">
        <v>0</v>
      </c>
      <c r="L130" s="18" t="n">
        <v>46321</v>
      </c>
      <c r="M130" s="18" t="n">
        <v>46321</v>
      </c>
      <c r="N130" s="3" t="inlineStr">
        <is>
          <t>exception</t>
        </is>
      </c>
      <c r="O130" s="3" t="inlineStr"/>
    </row>
    <row r="131">
      <c r="A131" s="3" t="inlineStr">
        <is>
          <t>ACT-0130</t>
        </is>
      </c>
      <c r="B131" s="3" t="inlineStr">
        <is>
          <t>APAC</t>
        </is>
      </c>
      <c r="C131" s="3" t="inlineStr">
        <is>
          <t>P1</t>
        </is>
      </c>
      <c r="D131" s="3" t="inlineStr">
        <is>
          <t>STOCKOUT_RISK</t>
        </is>
      </c>
      <c r="E131" s="3" t="inlineStr">
        <is>
          <t>AP-NET-031</t>
        </is>
      </c>
      <c r="F131" s="3" t="inlineStr">
        <is>
          <t>Supply Planner, APAC</t>
        </is>
      </c>
      <c r="G131" s="3" t="inlineStr">
        <is>
          <t>Projected stockout in week 4 of 8 (lead time 30 d, cover 26.0 d)</t>
        </is>
      </c>
      <c r="H131" s="18" t="n">
        <v>46323</v>
      </c>
      <c r="I131" s="3" t="inlineStr">
        <is>
          <t>Open</t>
        </is>
      </c>
      <c r="J131" s="3" t="n">
        <v>0</v>
      </c>
      <c r="K131" s="3" t="n">
        <v>0</v>
      </c>
      <c r="L131" s="18" t="n">
        <v>46321</v>
      </c>
      <c r="M131" s="18" t="n">
        <v>46321</v>
      </c>
      <c r="N131" s="3" t="inlineStr">
        <is>
          <t>exception</t>
        </is>
      </c>
      <c r="O131" s="3" t="inlineStr"/>
    </row>
    <row r="132">
      <c r="A132" s="3" t="inlineStr">
        <is>
          <t>ACT-0131</t>
        </is>
      </c>
      <c r="B132" s="3" t="inlineStr">
        <is>
          <t>APAC</t>
        </is>
      </c>
      <c r="C132" s="3" t="inlineStr">
        <is>
          <t>P2</t>
        </is>
      </c>
      <c r="D132" s="3" t="inlineStr">
        <is>
          <t>STOCKOUT_RISK</t>
        </is>
      </c>
      <c r="E132" s="3" t="inlineStr">
        <is>
          <t>AP-ACC-042</t>
        </is>
      </c>
      <c r="F132" s="3" t="inlineStr">
        <is>
          <t>Supply Planner, APAC</t>
        </is>
      </c>
      <c r="G132" s="3" t="inlineStr">
        <is>
          <t>Projected stockout in week 6 of 8 (lead time 24 d, cover 22.0 d)</t>
        </is>
      </c>
      <c r="H132" s="18" t="n">
        <v>46326</v>
      </c>
      <c r="I132" s="3" t="inlineStr">
        <is>
          <t>Open</t>
        </is>
      </c>
      <c r="J132" s="3" t="n">
        <v>0</v>
      </c>
      <c r="K132" s="3" t="n">
        <v>0</v>
      </c>
      <c r="L132" s="18" t="n">
        <v>46321</v>
      </c>
      <c r="M132" s="18" t="n">
        <v>46321</v>
      </c>
      <c r="N132" s="3" t="inlineStr">
        <is>
          <t>exception</t>
        </is>
      </c>
      <c r="O132" s="3" t="inlineStr"/>
    </row>
    <row r="133">
      <c r="A133" s="3" t="inlineStr">
        <is>
          <t>ACT-0132</t>
        </is>
      </c>
      <c r="B133" s="3" t="inlineStr">
        <is>
          <t>APAC</t>
        </is>
      </c>
      <c r="C133" s="3" t="inlineStr">
        <is>
          <t>P2</t>
        </is>
      </c>
      <c r="D133" s="3" t="inlineStr">
        <is>
          <t>STOCKOUT_RISK</t>
        </is>
      </c>
      <c r="E133" s="3" t="inlineStr">
        <is>
          <t>AP-STO-044</t>
        </is>
      </c>
      <c r="F133" s="3" t="inlineStr">
        <is>
          <t>Supply Planner, APAC</t>
        </is>
      </c>
      <c r="G133" s="3" t="inlineStr">
        <is>
          <t>Projected stockout in week 5 of 8 (lead time 16 d, cover 4.0 d)</t>
        </is>
      </c>
      <c r="H133" s="18" t="n">
        <v>46326</v>
      </c>
      <c r="I133" s="3" t="inlineStr">
        <is>
          <t>Open</t>
        </is>
      </c>
      <c r="J133" s="3" t="n">
        <v>0</v>
      </c>
      <c r="K133" s="3" t="n">
        <v>0</v>
      </c>
      <c r="L133" s="18" t="n">
        <v>46321</v>
      </c>
      <c r="M133" s="18" t="n">
        <v>46321</v>
      </c>
      <c r="N133" s="3" t="inlineStr">
        <is>
          <t>exception</t>
        </is>
      </c>
      <c r="O133" s="3" t="inlineStr"/>
    </row>
    <row r="134">
      <c r="A134" s="3" t="inlineStr">
        <is>
          <t>ACT-0133</t>
        </is>
      </c>
      <c r="B134" s="3" t="inlineStr">
        <is>
          <t>MENA-PAK</t>
        </is>
      </c>
      <c r="C134" s="3" t="inlineStr">
        <is>
          <t>P1</t>
        </is>
      </c>
      <c r="D134" s="3" t="inlineStr">
        <is>
          <t>STOCKOUT_RISK</t>
        </is>
      </c>
      <c r="E134" s="3" t="inlineStr">
        <is>
          <t>MP-NET-015</t>
        </is>
      </c>
      <c r="F134" s="3" t="inlineStr">
        <is>
          <t>Supply Planner, MENA-PAK</t>
        </is>
      </c>
      <c r="G134" s="3" t="inlineStr">
        <is>
          <t>Projected stockout in week 7 of 8 (lead time 53 d, cover 20.0 d)</t>
        </is>
      </c>
      <c r="H134" s="18" t="n">
        <v>46323</v>
      </c>
      <c r="I134" s="3" t="inlineStr">
        <is>
          <t>Open</t>
        </is>
      </c>
      <c r="J134" s="3" t="n">
        <v>0</v>
      </c>
      <c r="K134" s="3" t="n">
        <v>0</v>
      </c>
      <c r="L134" s="18" t="n">
        <v>46321</v>
      </c>
      <c r="M134" s="18" t="n">
        <v>46321</v>
      </c>
      <c r="N134" s="3" t="inlineStr">
        <is>
          <t>exception</t>
        </is>
      </c>
      <c r="O134" s="3" t="inlineStr"/>
    </row>
    <row r="135">
      <c r="A135" s="3" t="inlineStr">
        <is>
          <t>ACT-0134</t>
        </is>
      </c>
      <c r="B135" s="3" t="inlineStr">
        <is>
          <t>South Africa</t>
        </is>
      </c>
      <c r="C135" s="3" t="inlineStr">
        <is>
          <t>P3</t>
        </is>
      </c>
      <c r="D135" s="3" t="inlineStr">
        <is>
          <t>EXCESS_STOCK</t>
        </is>
      </c>
      <c r="E135" s="3" t="inlineStr">
        <is>
          <t>ZA-ACC-010</t>
        </is>
      </c>
      <c r="F135" s="3" t="inlineStr">
        <is>
          <t>Inventory Planner, South Africa</t>
        </is>
      </c>
      <c r="G135" s="3" t="inlineStr">
        <is>
          <t>Cover 141.0 d exceeds 120 d; excess value 152885.0</t>
        </is>
      </c>
      <c r="H135" s="18" t="n">
        <v>46331</v>
      </c>
      <c r="I135" s="3" t="inlineStr">
        <is>
          <t>Open</t>
        </is>
      </c>
      <c r="J135" s="3" t="n">
        <v>0</v>
      </c>
      <c r="K135" s="3" t="n">
        <v>0</v>
      </c>
      <c r="L135" s="18" t="n">
        <v>46321</v>
      </c>
      <c r="M135" s="18" t="n">
        <v>46321</v>
      </c>
      <c r="N135" s="3" t="inlineStr">
        <is>
          <t>exception</t>
        </is>
      </c>
      <c r="O135" s="3" t="inlineStr"/>
    </row>
    <row r="136">
      <c r="A136" s="3" t="inlineStr">
        <is>
          <t>ACT-0135</t>
        </is>
      </c>
      <c r="B136" s="3" t="inlineStr">
        <is>
          <t>MENA-PAK</t>
        </is>
      </c>
      <c r="C136" s="3" t="inlineStr">
        <is>
          <t>P3</t>
        </is>
      </c>
      <c r="D136" s="3" t="inlineStr">
        <is>
          <t>EXCESS_STOCK</t>
        </is>
      </c>
      <c r="E136" s="3" t="inlineStr">
        <is>
          <t>MP-STO-004</t>
        </is>
      </c>
      <c r="F136" s="3" t="inlineStr">
        <is>
          <t>Inventory Planner, MENA-PAK</t>
        </is>
      </c>
      <c r="G136" s="3" t="inlineStr">
        <is>
          <t>Cover 204.0 d exceeds 120 d; excess value 204315.0</t>
        </is>
      </c>
      <c r="H136" s="18" t="n">
        <v>46331</v>
      </c>
      <c r="I136" s="3" t="inlineStr">
        <is>
          <t>Open</t>
        </is>
      </c>
      <c r="J136" s="3" t="n">
        <v>0</v>
      </c>
      <c r="K136" s="3" t="n">
        <v>0</v>
      </c>
      <c r="L136" s="18" t="n">
        <v>46321</v>
      </c>
      <c r="M136" s="18" t="n">
        <v>46321</v>
      </c>
      <c r="N136" s="3" t="inlineStr">
        <is>
          <t>exception</t>
        </is>
      </c>
      <c r="O136" s="3" t="inlineStr"/>
    </row>
    <row r="137">
      <c r="A137" s="3" t="inlineStr">
        <is>
          <t>ACT-0136</t>
        </is>
      </c>
      <c r="B137" s="3" t="inlineStr">
        <is>
          <t>APAC</t>
        </is>
      </c>
      <c r="C137" s="3" t="inlineStr">
        <is>
          <t>P3</t>
        </is>
      </c>
      <c r="D137" s="3" t="inlineStr">
        <is>
          <t>EXCESS_STOCK</t>
        </is>
      </c>
      <c r="E137" s="3" t="inlineStr">
        <is>
          <t>AP-ACC-010</t>
        </is>
      </c>
      <c r="F137" s="3" t="inlineStr">
        <is>
          <t>Inventory Planner, APAC</t>
        </is>
      </c>
      <c r="G137" s="3" t="inlineStr">
        <is>
          <t>Cover 165.0 d exceeds 120 d; excess value 129676.0</t>
        </is>
      </c>
      <c r="H137" s="18" t="n">
        <v>46331</v>
      </c>
      <c r="I137" s="3" t="inlineStr">
        <is>
          <t>Open</t>
        </is>
      </c>
      <c r="J137" s="3" t="n">
        <v>0</v>
      </c>
      <c r="K137" s="3" t="n">
        <v>0</v>
      </c>
      <c r="L137" s="18" t="n">
        <v>46321</v>
      </c>
      <c r="M137" s="18" t="n">
        <v>46321</v>
      </c>
      <c r="N137" s="3" t="inlineStr">
        <is>
          <t>exception</t>
        </is>
      </c>
      <c r="O137" s="3" t="inlineStr"/>
    </row>
    <row r="138">
      <c r="A138" s="3" t="inlineStr">
        <is>
          <t>ACT-0137</t>
        </is>
      </c>
      <c r="B138" s="3" t="inlineStr">
        <is>
          <t>APAC</t>
        </is>
      </c>
      <c r="C138" s="3" t="inlineStr">
        <is>
          <t>P3</t>
        </is>
      </c>
      <c r="D138" s="3" t="inlineStr">
        <is>
          <t>EXCESS_STOCK</t>
        </is>
      </c>
      <c r="E138" s="3" t="inlineStr">
        <is>
          <t>AP-STO-016</t>
        </is>
      </c>
      <c r="F138" s="3" t="inlineStr">
        <is>
          <t>Inventory Planner, APAC</t>
        </is>
      </c>
      <c r="G138" s="3" t="inlineStr">
        <is>
          <t>Cover 169.0 d exceeds 120 d; excess value 211565.0</t>
        </is>
      </c>
      <c r="H138" s="18" t="n">
        <v>46331</v>
      </c>
      <c r="I138" s="3" t="inlineStr">
        <is>
          <t>Open</t>
        </is>
      </c>
      <c r="J138" s="3" t="n">
        <v>0</v>
      </c>
      <c r="K138" s="3" t="n">
        <v>0</v>
      </c>
      <c r="L138" s="18" t="n">
        <v>46321</v>
      </c>
      <c r="M138" s="18" t="n">
        <v>46321</v>
      </c>
      <c r="N138" s="3" t="inlineStr">
        <is>
          <t>exception</t>
        </is>
      </c>
      <c r="O138" s="3" t="inlineStr"/>
    </row>
    <row r="139">
      <c r="A139" s="3" t="inlineStr">
        <is>
          <t>ACT-0138</t>
        </is>
      </c>
      <c r="B139" s="3" t="inlineStr">
        <is>
          <t>MENA-PAK</t>
        </is>
      </c>
      <c r="C139" s="3" t="inlineStr">
        <is>
          <t>P3</t>
        </is>
      </c>
      <c r="D139" s="3" t="inlineStr">
        <is>
          <t>EXCESS_STOCK</t>
        </is>
      </c>
      <c r="E139" s="3" t="inlineStr">
        <is>
          <t>MP-DEV-021</t>
        </is>
      </c>
      <c r="F139" s="3" t="inlineStr">
        <is>
          <t>Inventory Planner, MENA-PAK</t>
        </is>
      </c>
      <c r="G139" s="3" t="inlineStr">
        <is>
          <t>Cover 169.0 d exceeds 120 d; excess value 1032021.0</t>
        </is>
      </c>
      <c r="H139" s="18" t="n">
        <v>46331</v>
      </c>
      <c r="I139" s="3" t="inlineStr">
        <is>
          <t>Open</t>
        </is>
      </c>
      <c r="J139" s="3" t="n">
        <v>0</v>
      </c>
      <c r="K139" s="3" t="n">
        <v>0</v>
      </c>
      <c r="L139" s="18" t="n">
        <v>46321</v>
      </c>
      <c r="M139" s="18" t="n">
        <v>46321</v>
      </c>
      <c r="N139" s="3" t="inlineStr">
        <is>
          <t>exception</t>
        </is>
      </c>
      <c r="O139" s="3" t="inlineStr"/>
    </row>
    <row r="140">
      <c r="A140" s="3" t="inlineStr">
        <is>
          <t>ACT-0139</t>
        </is>
      </c>
      <c r="B140" s="3" t="inlineStr">
        <is>
          <t>APAC</t>
        </is>
      </c>
      <c r="C140" s="3" t="inlineStr">
        <is>
          <t>P3</t>
        </is>
      </c>
      <c r="D140" s="3" t="inlineStr">
        <is>
          <t>EXCESS_STOCK</t>
        </is>
      </c>
      <c r="E140" s="3" t="inlineStr">
        <is>
          <t>AP-DEV-025</t>
        </is>
      </c>
      <c r="F140" s="3" t="inlineStr">
        <is>
          <t>Inventory Planner, APAC</t>
        </is>
      </c>
      <c r="G140" s="3" t="inlineStr">
        <is>
          <t>Cover 295.0 d exceeds 120 d; excess value 345744.0</t>
        </is>
      </c>
      <c r="H140" s="18" t="n">
        <v>46331</v>
      </c>
      <c r="I140" s="3" t="inlineStr">
        <is>
          <t>Open</t>
        </is>
      </c>
      <c r="J140" s="3" t="n">
        <v>0</v>
      </c>
      <c r="K140" s="3" t="n">
        <v>0</v>
      </c>
      <c r="L140" s="18" t="n">
        <v>46321</v>
      </c>
      <c r="M140" s="18" t="n">
        <v>46321</v>
      </c>
      <c r="N140" s="3" t="inlineStr">
        <is>
          <t>exception</t>
        </is>
      </c>
      <c r="O140" s="3" t="inlineStr"/>
    </row>
    <row r="141">
      <c r="A141" s="3" t="inlineStr">
        <is>
          <t>ACT-0140</t>
        </is>
      </c>
      <c r="B141" s="3" t="inlineStr">
        <is>
          <t>APAC</t>
        </is>
      </c>
      <c r="C141" s="3" t="inlineStr">
        <is>
          <t>P3</t>
        </is>
      </c>
      <c r="D141" s="3" t="inlineStr">
        <is>
          <t>EXCESS_STOCK</t>
        </is>
      </c>
      <c r="E141" s="3" t="inlineStr">
        <is>
          <t>AP-DEV-001</t>
        </is>
      </c>
      <c r="F141" s="3" t="inlineStr">
        <is>
          <t>Inventory Planner, APAC</t>
        </is>
      </c>
      <c r="G141" s="3" t="inlineStr">
        <is>
          <t>Cover 266.0 d exceeds 120 d; excess value 863954.0</t>
        </is>
      </c>
      <c r="H141" s="18" t="n">
        <v>46331</v>
      </c>
      <c r="I141" s="3" t="inlineStr">
        <is>
          <t>Open</t>
        </is>
      </c>
      <c r="J141" s="3" t="n">
        <v>0</v>
      </c>
      <c r="K141" s="3" t="n">
        <v>0</v>
      </c>
      <c r="L141" s="18" t="n">
        <v>46321</v>
      </c>
      <c r="M141" s="18" t="n">
        <v>46321</v>
      </c>
      <c r="N141" s="3" t="inlineStr">
        <is>
          <t>exception</t>
        </is>
      </c>
      <c r="O141" s="3" t="inlineStr"/>
    </row>
    <row r="142">
      <c r="A142" s="3" t="inlineStr">
        <is>
          <t>ACT-0141</t>
        </is>
      </c>
      <c r="B142" s="3" t="inlineStr">
        <is>
          <t>South Africa</t>
        </is>
      </c>
      <c r="C142" s="3" t="inlineStr">
        <is>
          <t>P2</t>
        </is>
      </c>
      <c r="D142" s="3" t="inlineStr">
        <is>
          <t>FORECAST_BIAS</t>
        </is>
      </c>
      <c r="E142" s="3" t="inlineStr">
        <is>
          <t>ZA-DEV-001</t>
        </is>
      </c>
      <c r="F142" s="3" t="inlineStr">
        <is>
          <t>Demand Planner, South Africa</t>
        </is>
      </c>
      <c r="G142" s="3" t="inlineStr">
        <is>
          <t>Bias -29.0% over last 8 weeks (WAPE 31.0%)</t>
        </is>
      </c>
      <c r="H142" s="18" t="n">
        <v>46326</v>
      </c>
      <c r="I142" s="3" t="inlineStr">
        <is>
          <t>Open</t>
        </is>
      </c>
      <c r="J142" s="3" t="n">
        <v>0</v>
      </c>
      <c r="K142" s="3" t="n">
        <v>0</v>
      </c>
      <c r="L142" s="18" t="n">
        <v>46321</v>
      </c>
      <c r="M142" s="18" t="n">
        <v>46321</v>
      </c>
      <c r="N142" s="3" t="inlineStr">
        <is>
          <t>exception</t>
        </is>
      </c>
      <c r="O142" s="3" t="inlineStr"/>
    </row>
    <row r="143">
      <c r="A143" s="3" t="inlineStr">
        <is>
          <t>ACT-0142</t>
        </is>
      </c>
      <c r="B143" s="3" t="inlineStr">
        <is>
          <t>India</t>
        </is>
      </c>
      <c r="C143" s="3" t="inlineStr">
        <is>
          <t>P2</t>
        </is>
      </c>
      <c r="D143" s="3" t="inlineStr">
        <is>
          <t>FORECAST_BIAS</t>
        </is>
      </c>
      <c r="E143" s="3" t="inlineStr">
        <is>
          <t>IN-ACC-034</t>
        </is>
      </c>
      <c r="F143" s="3" t="inlineStr">
        <is>
          <t>Demand Planner, India</t>
        </is>
      </c>
      <c r="G143" s="3" t="inlineStr">
        <is>
          <t>Bias 32.0% over last 8 weeks (WAPE 32.0%)</t>
        </is>
      </c>
      <c r="H143" s="18" t="n">
        <v>46326</v>
      </c>
      <c r="I143" s="3" t="inlineStr">
        <is>
          <t>Open</t>
        </is>
      </c>
      <c r="J143" s="3" t="n">
        <v>0</v>
      </c>
      <c r="K143" s="3" t="n">
        <v>0</v>
      </c>
      <c r="L143" s="18" t="n">
        <v>46321</v>
      </c>
      <c r="M143" s="18" t="n">
        <v>46321</v>
      </c>
      <c r="N143" s="3" t="inlineStr">
        <is>
          <t>exception</t>
        </is>
      </c>
      <c r="O143" s="3" t="inlineStr"/>
    </row>
    <row r="144">
      <c r="A144" s="3" t="inlineStr">
        <is>
          <t>ACT-0143</t>
        </is>
      </c>
      <c r="B144" s="3" t="inlineStr">
        <is>
          <t>MENA-PAK</t>
        </is>
      </c>
      <c r="C144" s="3" t="inlineStr">
        <is>
          <t>P2</t>
        </is>
      </c>
      <c r="D144" s="3" t="inlineStr">
        <is>
          <t>FORECAST_BIAS</t>
        </is>
      </c>
      <c r="E144" s="3" t="inlineStr">
        <is>
          <t>MP-DEV-021</t>
        </is>
      </c>
      <c r="F144" s="3" t="inlineStr">
        <is>
          <t>Demand Planner, MENA-PAK</t>
        </is>
      </c>
      <c r="G144" s="3" t="inlineStr">
        <is>
          <t>Bias -36.0% over last 8 weeks (WAPE 36.0%)</t>
        </is>
      </c>
      <c r="H144" s="18" t="n">
        <v>46326</v>
      </c>
      <c r="I144" s="3" t="inlineStr">
        <is>
          <t>Open</t>
        </is>
      </c>
      <c r="J144" s="3" t="n">
        <v>0</v>
      </c>
      <c r="K144" s="3" t="n">
        <v>0</v>
      </c>
      <c r="L144" s="18" t="n">
        <v>46321</v>
      </c>
      <c r="M144" s="18" t="n">
        <v>46321</v>
      </c>
      <c r="N144" s="3" t="inlineStr">
        <is>
          <t>exception</t>
        </is>
      </c>
      <c r="O144" s="3" t="inlineStr"/>
    </row>
    <row r="145">
      <c r="A145" s="3" t="inlineStr">
        <is>
          <t>ACT-0144</t>
        </is>
      </c>
      <c r="B145" s="3" t="inlineStr">
        <is>
          <t>South Africa</t>
        </is>
      </c>
      <c r="C145" s="3" t="inlineStr">
        <is>
          <t>P2</t>
        </is>
      </c>
      <c r="D145" s="3" t="inlineStr">
        <is>
          <t>FORECAST_BIAS</t>
        </is>
      </c>
      <c r="E145" s="3" t="inlineStr">
        <is>
          <t>ZA-STO-008</t>
        </is>
      </c>
      <c r="F145" s="3" t="inlineStr">
        <is>
          <t>Demand Planner, South Africa</t>
        </is>
      </c>
      <c r="G145" s="3" t="inlineStr">
        <is>
          <t>Bias -27.0% over last 8 weeks (WAPE 27.0%)</t>
        </is>
      </c>
      <c r="H145" s="18" t="n">
        <v>46326</v>
      </c>
      <c r="I145" s="3" t="inlineStr">
        <is>
          <t>Open</t>
        </is>
      </c>
      <c r="J145" s="3" t="n">
        <v>0</v>
      </c>
      <c r="K145" s="3" t="n">
        <v>0</v>
      </c>
      <c r="L145" s="18" t="n">
        <v>46321</v>
      </c>
      <c r="M145" s="18" t="n">
        <v>46321</v>
      </c>
      <c r="N145" s="3" t="inlineStr">
        <is>
          <t>exception</t>
        </is>
      </c>
      <c r="O145" s="3" t="inlineStr"/>
    </row>
    <row r="146">
      <c r="A146" s="3" t="inlineStr">
        <is>
          <t>ACT-0145</t>
        </is>
      </c>
      <c r="B146" s="3" t="inlineStr">
        <is>
          <t>India</t>
        </is>
      </c>
      <c r="C146" s="3" t="inlineStr">
        <is>
          <t>P2</t>
        </is>
      </c>
      <c r="D146" s="3" t="inlineStr">
        <is>
          <t>FORECAST_BIAS</t>
        </is>
      </c>
      <c r="E146" s="3" t="inlineStr">
        <is>
          <t>IN-NET-031</t>
        </is>
      </c>
      <c r="F146" s="3" t="inlineStr">
        <is>
          <t>Demand Planner, India</t>
        </is>
      </c>
      <c r="G146" s="3" t="inlineStr">
        <is>
          <t>Bias 44.0% over last 8 weeks (WAPE 44.0%)</t>
        </is>
      </c>
      <c r="H146" s="18" t="n">
        <v>46326</v>
      </c>
      <c r="I146" s="3" t="inlineStr">
        <is>
          <t>Open</t>
        </is>
      </c>
      <c r="J146" s="3" t="n">
        <v>0</v>
      </c>
      <c r="K146" s="3" t="n">
        <v>0</v>
      </c>
      <c r="L146" s="18" t="n">
        <v>46321</v>
      </c>
      <c r="M146" s="18" t="n">
        <v>46321</v>
      </c>
      <c r="N146" s="3" t="inlineStr">
        <is>
          <t>exception</t>
        </is>
      </c>
      <c r="O146" s="3" t="inlineStr"/>
    </row>
    <row r="147">
      <c r="A147" s="3" t="inlineStr">
        <is>
          <t>ACT-0146</t>
        </is>
      </c>
      <c r="B147" s="3" t="inlineStr">
        <is>
          <t>MENA-PAK</t>
        </is>
      </c>
      <c r="C147" s="3" t="inlineStr">
        <is>
          <t>P2</t>
        </is>
      </c>
      <c r="D147" s="3" t="inlineStr">
        <is>
          <t>FORECAST_BIAS</t>
        </is>
      </c>
      <c r="E147" s="3" t="inlineStr">
        <is>
          <t>MP-NET-007</t>
        </is>
      </c>
      <c r="F147" s="3" t="inlineStr">
        <is>
          <t>Demand Planner, MENA-PAK</t>
        </is>
      </c>
      <c r="G147" s="3" t="inlineStr">
        <is>
          <t>Bias -23.0% over last 8 weeks (WAPE 30.0%)</t>
        </is>
      </c>
      <c r="H147" s="18" t="n">
        <v>46326</v>
      </c>
      <c r="I147" s="3" t="inlineStr">
        <is>
          <t>Open</t>
        </is>
      </c>
      <c r="J147" s="3" t="n">
        <v>0</v>
      </c>
      <c r="K147" s="3" t="n">
        <v>0</v>
      </c>
      <c r="L147" s="18" t="n">
        <v>46321</v>
      </c>
      <c r="M147" s="18" t="n">
        <v>46321</v>
      </c>
      <c r="N147" s="3" t="inlineStr">
        <is>
          <t>exception</t>
        </is>
      </c>
      <c r="O147" s="3" t="inlineStr"/>
    </row>
    <row r="148">
      <c r="A148" s="3" t="inlineStr">
        <is>
          <t>ACT-0147</t>
        </is>
      </c>
      <c r="B148" s="3" t="inlineStr">
        <is>
          <t>South Africa</t>
        </is>
      </c>
      <c r="C148" s="3" t="inlineStr">
        <is>
          <t>P2</t>
        </is>
      </c>
      <c r="D148" s="3" t="inlineStr">
        <is>
          <t>FORECAST_BIAS</t>
        </is>
      </c>
      <c r="E148" s="3" t="inlineStr">
        <is>
          <t>ZA-DEV-017</t>
        </is>
      </c>
      <c r="F148" s="3" t="inlineStr">
        <is>
          <t>Demand Planner, South Africa</t>
        </is>
      </c>
      <c r="G148" s="3" t="inlineStr">
        <is>
          <t>Bias 23.0% over last 8 weeks (WAPE 25.0%)</t>
        </is>
      </c>
      <c r="H148" s="18" t="n">
        <v>46326</v>
      </c>
      <c r="I148" s="3" t="inlineStr">
        <is>
          <t>Open</t>
        </is>
      </c>
      <c r="J148" s="3" t="n">
        <v>0</v>
      </c>
      <c r="K148" s="3" t="n">
        <v>0</v>
      </c>
      <c r="L148" s="18" t="n">
        <v>46321</v>
      </c>
      <c r="M148" s="18" t="n">
        <v>46321</v>
      </c>
      <c r="N148" s="3" t="inlineStr">
        <is>
          <t>exception</t>
        </is>
      </c>
      <c r="O148" s="3" t="inlineStr"/>
    </row>
    <row r="149">
      <c r="A149" s="3" t="inlineStr">
        <is>
          <t>ACT-0148</t>
        </is>
      </c>
      <c r="B149" s="3" t="inlineStr">
        <is>
          <t>South Africa</t>
        </is>
      </c>
      <c r="C149" s="3" t="inlineStr">
        <is>
          <t>P2</t>
        </is>
      </c>
      <c r="D149" s="3" t="inlineStr">
        <is>
          <t>FORECAST_BIAS</t>
        </is>
      </c>
      <c r="E149" s="3" t="inlineStr">
        <is>
          <t>ZA-NET-003</t>
        </is>
      </c>
      <c r="F149" s="3" t="inlineStr">
        <is>
          <t>Demand Planner, South Africa</t>
        </is>
      </c>
      <c r="G149" s="3" t="inlineStr">
        <is>
          <t>Bias 48.0% over last 8 weeks (WAPE 49.0%)</t>
        </is>
      </c>
      <c r="H149" s="18" t="n">
        <v>46326</v>
      </c>
      <c r="I149" s="3" t="inlineStr">
        <is>
          <t>Open</t>
        </is>
      </c>
      <c r="J149" s="3" t="n">
        <v>0</v>
      </c>
      <c r="K149" s="3" t="n">
        <v>0</v>
      </c>
      <c r="L149" s="18" t="n">
        <v>46321</v>
      </c>
      <c r="M149" s="18" t="n">
        <v>46321</v>
      </c>
      <c r="N149" s="3" t="inlineStr">
        <is>
          <t>exception</t>
        </is>
      </c>
      <c r="O149" s="3" t="inlineStr"/>
    </row>
    <row r="150">
      <c r="A150" s="3" t="inlineStr">
        <is>
          <t>ACT-0149</t>
        </is>
      </c>
      <c r="B150" s="3" t="inlineStr">
        <is>
          <t>APAC</t>
        </is>
      </c>
      <c r="C150" s="3" t="inlineStr">
        <is>
          <t>P2</t>
        </is>
      </c>
      <c r="D150" s="3" t="inlineStr">
        <is>
          <t>LATE_PO</t>
        </is>
      </c>
      <c r="E150" s="3" t="inlineStr">
        <is>
          <t>PO000063</t>
        </is>
      </c>
      <c r="F150" s="3" t="inlineStr">
        <is>
          <t>Procurement Lead, APAC</t>
        </is>
      </c>
      <c r="G150" s="3" t="inlineStr">
        <is>
          <t>PO PO000063 is 11 days past promised date, open qty 478</t>
        </is>
      </c>
      <c r="H150" s="18" t="n">
        <v>46326</v>
      </c>
      <c r="I150" s="3" t="inlineStr">
        <is>
          <t>Open</t>
        </is>
      </c>
      <c r="J150" s="3" t="n">
        <v>0</v>
      </c>
      <c r="K150" s="3" t="n">
        <v>0</v>
      </c>
      <c r="L150" s="18" t="n">
        <v>46321</v>
      </c>
      <c r="M150" s="18" t="n">
        <v>46321</v>
      </c>
      <c r="N150" s="3" t="inlineStr">
        <is>
          <t>exception</t>
        </is>
      </c>
      <c r="O150" s="3" t="inlineStr"/>
    </row>
    <row r="151">
      <c r="A151" s="3" t="inlineStr">
        <is>
          <t>ACT-0150</t>
        </is>
      </c>
      <c r="B151" s="3" t="inlineStr">
        <is>
          <t>India</t>
        </is>
      </c>
      <c r="C151" s="3" t="inlineStr">
        <is>
          <t>P1</t>
        </is>
      </c>
      <c r="D151" s="3" t="inlineStr">
        <is>
          <t>LATE_PO</t>
        </is>
      </c>
      <c r="E151" s="3" t="inlineStr">
        <is>
          <t>PO000101</t>
        </is>
      </c>
      <c r="F151" s="3" t="inlineStr">
        <is>
          <t>Procurement Lead, India</t>
        </is>
      </c>
      <c r="G151" s="3" t="inlineStr">
        <is>
          <t>PO PO000101 is 1 days past promised date, open qty 200</t>
        </is>
      </c>
      <c r="H151" s="18" t="n">
        <v>46323</v>
      </c>
      <c r="I151" s="3" t="inlineStr">
        <is>
          <t>Open</t>
        </is>
      </c>
      <c r="J151" s="3" t="n">
        <v>0</v>
      </c>
      <c r="K151" s="3" t="n">
        <v>0</v>
      </c>
      <c r="L151" s="18" t="n">
        <v>46321</v>
      </c>
      <c r="M151" s="18" t="n">
        <v>46321</v>
      </c>
      <c r="N151" s="3" t="inlineStr">
        <is>
          <t>exception</t>
        </is>
      </c>
      <c r="O151" s="3" t="inlineStr"/>
    </row>
    <row r="152">
      <c r="A152" s="3" t="inlineStr">
        <is>
          <t>ACT-0151</t>
        </is>
      </c>
      <c r="B152" s="3" t="inlineStr">
        <is>
          <t>MENA-PAK</t>
        </is>
      </c>
      <c r="C152" s="3" t="inlineStr">
        <is>
          <t>P2</t>
        </is>
      </c>
      <c r="D152" s="3" t="inlineStr">
        <is>
          <t>LATE_PO</t>
        </is>
      </c>
      <c r="E152" s="3" t="inlineStr">
        <is>
          <t>PO000092</t>
        </is>
      </c>
      <c r="F152" s="3" t="inlineStr">
        <is>
          <t>Procurement Lead, MENA-PAK</t>
        </is>
      </c>
      <c r="G152" s="3" t="inlineStr">
        <is>
          <t>PO PO000092 is 7 days past promised date, open qty 1141</t>
        </is>
      </c>
      <c r="H152" s="18" t="n">
        <v>46326</v>
      </c>
      <c r="I152" s="3" t="inlineStr">
        <is>
          <t>Open</t>
        </is>
      </c>
      <c r="J152" s="3" t="n">
        <v>0</v>
      </c>
      <c r="K152" s="3" t="n">
        <v>0</v>
      </c>
      <c r="L152" s="18" t="n">
        <v>46321</v>
      </c>
      <c r="M152" s="18" t="n">
        <v>46321</v>
      </c>
      <c r="N152" s="3" t="inlineStr">
        <is>
          <t>exception</t>
        </is>
      </c>
      <c r="O152" s="3" t="inlineStr"/>
    </row>
    <row r="153">
      <c r="A153" s="3" t="inlineStr">
        <is>
          <t>ACT-0152</t>
        </is>
      </c>
      <c r="B153" s="3" t="inlineStr">
        <is>
          <t>India</t>
        </is>
      </c>
      <c r="C153" s="3" t="inlineStr">
        <is>
          <t>P2</t>
        </is>
      </c>
      <c r="D153" s="3" t="inlineStr">
        <is>
          <t>LATE_PO</t>
        </is>
      </c>
      <c r="E153" s="3" t="inlineStr">
        <is>
          <t>PO000138</t>
        </is>
      </c>
      <c r="F153" s="3" t="inlineStr">
        <is>
          <t>Procurement Lead, India</t>
        </is>
      </c>
      <c r="G153" s="3" t="inlineStr">
        <is>
          <t>PO PO000138 is 1 days past promised date, open qty 531</t>
        </is>
      </c>
      <c r="H153" s="18" t="n">
        <v>46326</v>
      </c>
      <c r="I153" s="3" t="inlineStr">
        <is>
          <t>Open</t>
        </is>
      </c>
      <c r="J153" s="3" t="n">
        <v>0</v>
      </c>
      <c r="K153" s="3" t="n">
        <v>0</v>
      </c>
      <c r="L153" s="18" t="n">
        <v>46321</v>
      </c>
      <c r="M153" s="18" t="n">
        <v>46321</v>
      </c>
      <c r="N153" s="3" t="inlineStr">
        <is>
          <t>exception</t>
        </is>
      </c>
      <c r="O153" s="3" t="inlineStr"/>
    </row>
    <row r="154">
      <c r="A154" s="3" t="inlineStr">
        <is>
          <t>ACT-0153</t>
        </is>
      </c>
      <c r="B154" s="3" t="inlineStr">
        <is>
          <t>APAC</t>
        </is>
      </c>
      <c r="C154" s="3" t="inlineStr">
        <is>
          <t>P2</t>
        </is>
      </c>
      <c r="D154" s="3" t="inlineStr">
        <is>
          <t>LATE_PO</t>
        </is>
      </c>
      <c r="E154" s="3" t="inlineStr">
        <is>
          <t>PO000036</t>
        </is>
      </c>
      <c r="F154" s="3" t="inlineStr">
        <is>
          <t>Procurement Lead, APAC</t>
        </is>
      </c>
      <c r="G154" s="3" t="inlineStr">
        <is>
          <t>PO PO000036 is 10 days past promised date, open qty 136</t>
        </is>
      </c>
      <c r="H154" s="18" t="n">
        <v>46326</v>
      </c>
      <c r="I154" s="3" t="inlineStr">
        <is>
          <t>Open</t>
        </is>
      </c>
      <c r="J154" s="3" t="n">
        <v>0</v>
      </c>
      <c r="K154" s="3" t="n">
        <v>0</v>
      </c>
      <c r="L154" s="18" t="n">
        <v>46321</v>
      </c>
      <c r="M154" s="18" t="n">
        <v>46321</v>
      </c>
      <c r="N154" s="3" t="inlineStr">
        <is>
          <t>exception</t>
        </is>
      </c>
      <c r="O154" s="3" t="inlineStr"/>
    </row>
    <row r="155">
      <c r="A155" s="3" t="inlineStr">
        <is>
          <t>ACT-0154</t>
        </is>
      </c>
      <c r="B155" s="3" t="inlineStr">
        <is>
          <t>South Africa</t>
        </is>
      </c>
      <c r="C155" s="3" t="inlineStr">
        <is>
          <t>P2</t>
        </is>
      </c>
      <c r="D155" s="3" t="inlineStr">
        <is>
          <t>LATE_PO</t>
        </is>
      </c>
      <c r="E155" s="3" t="inlineStr">
        <is>
          <t>PO000027</t>
        </is>
      </c>
      <c r="F155" s="3" t="inlineStr">
        <is>
          <t>Procurement Lead, South Africa</t>
        </is>
      </c>
      <c r="G155" s="3" t="inlineStr">
        <is>
          <t>PO PO000027 is 3 days past promised date, open qty 435</t>
        </is>
      </c>
      <c r="H155" s="18" t="n">
        <v>46326</v>
      </c>
      <c r="I155" s="3" t="inlineStr">
        <is>
          <t>Open</t>
        </is>
      </c>
      <c r="J155" s="3" t="n">
        <v>0</v>
      </c>
      <c r="K155" s="3" t="n">
        <v>0</v>
      </c>
      <c r="L155" s="18" t="n">
        <v>46321</v>
      </c>
      <c r="M155" s="18" t="n">
        <v>46321</v>
      </c>
      <c r="N155" s="3" t="inlineStr">
        <is>
          <t>exception</t>
        </is>
      </c>
      <c r="O155" s="3" t="inlineStr"/>
    </row>
    <row r="156">
      <c r="A156" s="3" t="inlineStr">
        <is>
          <t>ACT-0155</t>
        </is>
      </c>
      <c r="B156" s="3" t="inlineStr">
        <is>
          <t>South Africa</t>
        </is>
      </c>
      <c r="C156" s="3" t="inlineStr">
        <is>
          <t>P2</t>
        </is>
      </c>
      <c r="D156" s="3" t="inlineStr">
        <is>
          <t>LATE_PO</t>
        </is>
      </c>
      <c r="E156" s="3" t="inlineStr">
        <is>
          <t>PO000090</t>
        </is>
      </c>
      <c r="F156" s="3" t="inlineStr">
        <is>
          <t>Procurement Lead, South Africa</t>
        </is>
      </c>
      <c r="G156" s="3" t="inlineStr">
        <is>
          <t>PO PO000090 is 4 days past promised date, open qty 489</t>
        </is>
      </c>
      <c r="H156" s="18" t="n">
        <v>46326</v>
      </c>
      <c r="I156" s="3" t="inlineStr">
        <is>
          <t>Open</t>
        </is>
      </c>
      <c r="J156" s="3" t="n">
        <v>0</v>
      </c>
      <c r="K156" s="3" t="n">
        <v>0</v>
      </c>
      <c r="L156" s="18" t="n">
        <v>46321</v>
      </c>
      <c r="M156" s="18" t="n">
        <v>46321</v>
      </c>
      <c r="N156" s="3" t="inlineStr">
        <is>
          <t>exception</t>
        </is>
      </c>
      <c r="O156" s="3" t="inlineStr"/>
    </row>
    <row r="157">
      <c r="A157" s="3" t="inlineStr">
        <is>
          <t>ACT-0156</t>
        </is>
      </c>
      <c r="B157" s="3" t="inlineStr">
        <is>
          <t>APAC</t>
        </is>
      </c>
      <c r="C157" s="3" t="inlineStr">
        <is>
          <t>P2</t>
        </is>
      </c>
      <c r="D157" s="3" t="inlineStr">
        <is>
          <t>LATE_PO</t>
        </is>
      </c>
      <c r="E157" s="3" t="inlineStr">
        <is>
          <t>PO000070</t>
        </is>
      </c>
      <c r="F157" s="3" t="inlineStr">
        <is>
          <t>Procurement Lead, APAC</t>
        </is>
      </c>
      <c r="G157" s="3" t="inlineStr">
        <is>
          <t>PO PO000070 is 5 days past promised date, open qty 732</t>
        </is>
      </c>
      <c r="H157" s="18" t="n">
        <v>46326</v>
      </c>
      <c r="I157" s="3" t="inlineStr">
        <is>
          <t>Open</t>
        </is>
      </c>
      <c r="J157" s="3" t="n">
        <v>0</v>
      </c>
      <c r="K157" s="3" t="n">
        <v>0</v>
      </c>
      <c r="L157" s="18" t="n">
        <v>46321</v>
      </c>
      <c r="M157" s="18" t="n">
        <v>46321</v>
      </c>
      <c r="N157" s="3" t="inlineStr">
        <is>
          <t>exception</t>
        </is>
      </c>
      <c r="O157" s="3" t="inlineStr"/>
    </row>
    <row r="158">
      <c r="A158" s="3" t="inlineStr">
        <is>
          <t>ACT-0157</t>
        </is>
      </c>
      <c r="B158" s="3" t="inlineStr">
        <is>
          <t>APAC</t>
        </is>
      </c>
      <c r="C158" s="3" t="inlineStr">
        <is>
          <t>P1</t>
        </is>
      </c>
      <c r="D158" s="3" t="inlineStr">
        <is>
          <t>LATE_PO</t>
        </is>
      </c>
      <c r="E158" s="3" t="inlineStr">
        <is>
          <t>PO000088</t>
        </is>
      </c>
      <c r="F158" s="3" t="inlineStr">
        <is>
          <t>Procurement Lead, APAC</t>
        </is>
      </c>
      <c r="G158" s="3" t="inlineStr">
        <is>
          <t>PO PO000088 is 7 days past promised date, open qty 696</t>
        </is>
      </c>
      <c r="H158" s="18" t="n">
        <v>46323</v>
      </c>
      <c r="I158" s="3" t="inlineStr">
        <is>
          <t>Open</t>
        </is>
      </c>
      <c r="J158" s="3" t="n">
        <v>0</v>
      </c>
      <c r="K158" s="3" t="n">
        <v>0</v>
      </c>
      <c r="L158" s="18" t="n">
        <v>46321</v>
      </c>
      <c r="M158" s="18" t="n">
        <v>46321</v>
      </c>
      <c r="N158" s="3" t="inlineStr">
        <is>
          <t>exception</t>
        </is>
      </c>
      <c r="O158" s="3" t="inlineStr"/>
    </row>
    <row r="159">
      <c r="A159" s="3" t="inlineStr">
        <is>
          <t>ACT-0158</t>
        </is>
      </c>
      <c r="B159" s="3" t="inlineStr">
        <is>
          <t>India</t>
        </is>
      </c>
      <c r="C159" s="3" t="inlineStr">
        <is>
          <t>P1</t>
        </is>
      </c>
      <c r="D159" s="3" t="inlineStr">
        <is>
          <t>LATE_PO</t>
        </is>
      </c>
      <c r="E159" s="3" t="inlineStr">
        <is>
          <t>PO000023</t>
        </is>
      </c>
      <c r="F159" s="3" t="inlineStr">
        <is>
          <t>Procurement Lead, India</t>
        </is>
      </c>
      <c r="G159" s="3" t="inlineStr">
        <is>
          <t>PO PO000023 is 3 days past promised date, open qty 189</t>
        </is>
      </c>
      <c r="H159" s="18" t="n">
        <v>46323</v>
      </c>
      <c r="I159" s="3" t="inlineStr">
        <is>
          <t>Open</t>
        </is>
      </c>
      <c r="J159" s="3" t="n">
        <v>0</v>
      </c>
      <c r="K159" s="3" t="n">
        <v>0</v>
      </c>
      <c r="L159" s="18" t="n">
        <v>46321</v>
      </c>
      <c r="M159" s="18" t="n">
        <v>46321</v>
      </c>
      <c r="N159" s="3" t="inlineStr">
        <is>
          <t>exception</t>
        </is>
      </c>
      <c r="O159" s="3" t="inlineStr"/>
    </row>
    <row r="160">
      <c r="A160" s="3" t="inlineStr">
        <is>
          <t>ACT-0159</t>
        </is>
      </c>
      <c r="B160" s="3" t="inlineStr">
        <is>
          <t>MENA-PAK</t>
        </is>
      </c>
      <c r="C160" s="3" t="inlineStr">
        <is>
          <t>P2</t>
        </is>
      </c>
      <c r="D160" s="3" t="inlineStr">
        <is>
          <t>LATE_PO</t>
        </is>
      </c>
      <c r="E160" s="3" t="inlineStr">
        <is>
          <t>PO000111</t>
        </is>
      </c>
      <c r="F160" s="3" t="inlineStr">
        <is>
          <t>Procurement Lead, MENA-PAK</t>
        </is>
      </c>
      <c r="G160" s="3" t="inlineStr">
        <is>
          <t>PO PO000111 is 3 days past promised date, open qty 725</t>
        </is>
      </c>
      <c r="H160" s="18" t="n">
        <v>46326</v>
      </c>
      <c r="I160" s="3" t="inlineStr">
        <is>
          <t>Open</t>
        </is>
      </c>
      <c r="J160" s="3" t="n">
        <v>0</v>
      </c>
      <c r="K160" s="3" t="n">
        <v>0</v>
      </c>
      <c r="L160" s="18" t="n">
        <v>46321</v>
      </c>
      <c r="M160" s="18" t="n">
        <v>46321</v>
      </c>
      <c r="N160" s="3" t="inlineStr">
        <is>
          <t>exception</t>
        </is>
      </c>
      <c r="O160" s="3" t="inlineStr"/>
    </row>
    <row r="161">
      <c r="A161" s="3" t="inlineStr">
        <is>
          <t>ACT-0160</t>
        </is>
      </c>
      <c r="B161" s="3" t="inlineStr">
        <is>
          <t>APAC</t>
        </is>
      </c>
      <c r="C161" s="3" t="inlineStr">
        <is>
          <t>P2</t>
        </is>
      </c>
      <c r="D161" s="3" t="inlineStr">
        <is>
          <t>LATE_PO</t>
        </is>
      </c>
      <c r="E161" s="3" t="inlineStr">
        <is>
          <t>PO000160</t>
        </is>
      </c>
      <c r="F161" s="3" t="inlineStr">
        <is>
          <t>Procurement Lead, APAC</t>
        </is>
      </c>
      <c r="G161" s="3" t="inlineStr">
        <is>
          <t>PO PO000160 is 5 days past promised date, open qty 691</t>
        </is>
      </c>
      <c r="H161" s="18" t="n">
        <v>46326</v>
      </c>
      <c r="I161" s="3" t="inlineStr">
        <is>
          <t>Open</t>
        </is>
      </c>
      <c r="J161" s="3" t="n">
        <v>0</v>
      </c>
      <c r="K161" s="3" t="n">
        <v>0</v>
      </c>
      <c r="L161" s="18" t="n">
        <v>46321</v>
      </c>
      <c r="M161" s="18" t="n">
        <v>46321</v>
      </c>
      <c r="N161" s="3" t="inlineStr">
        <is>
          <t>exception</t>
        </is>
      </c>
      <c r="O161" s="3" t="inlineStr"/>
    </row>
    <row r="162">
      <c r="A162" s="3" t="inlineStr">
        <is>
          <t>ACT-0161</t>
        </is>
      </c>
      <c r="B162" s="3" t="inlineStr">
        <is>
          <t>India</t>
        </is>
      </c>
      <c r="C162" s="3" t="inlineStr">
        <is>
          <t>P2</t>
        </is>
      </c>
      <c r="D162" s="3" t="inlineStr">
        <is>
          <t>LATE_PO</t>
        </is>
      </c>
      <c r="E162" s="3" t="inlineStr">
        <is>
          <t>PO000069</t>
        </is>
      </c>
      <c r="F162" s="3" t="inlineStr">
        <is>
          <t>Procurement Lead, India</t>
        </is>
      </c>
      <c r="G162" s="3" t="inlineStr">
        <is>
          <t>PO PO000069 is 8 days past promised date, open qty 371</t>
        </is>
      </c>
      <c r="H162" s="18" t="n">
        <v>46326</v>
      </c>
      <c r="I162" s="3" t="inlineStr">
        <is>
          <t>Open</t>
        </is>
      </c>
      <c r="J162" s="3" t="n">
        <v>0</v>
      </c>
      <c r="K162" s="3" t="n">
        <v>0</v>
      </c>
      <c r="L162" s="18" t="n">
        <v>46321</v>
      </c>
      <c r="M162" s="18" t="n">
        <v>46321</v>
      </c>
      <c r="N162" s="3" t="inlineStr">
        <is>
          <t>exception</t>
        </is>
      </c>
      <c r="O162" s="3" t="inlineStr"/>
    </row>
    <row r="163">
      <c r="A163" s="3" t="inlineStr">
        <is>
          <t>ACT-0162</t>
        </is>
      </c>
      <c r="B163" s="3" t="inlineStr">
        <is>
          <t>MENA-PAK</t>
        </is>
      </c>
      <c r="C163" s="3" t="inlineStr">
        <is>
          <t>P2</t>
        </is>
      </c>
      <c r="D163" s="3" t="inlineStr">
        <is>
          <t>LATE_PO</t>
        </is>
      </c>
      <c r="E163" s="3" t="inlineStr">
        <is>
          <t>PO000128</t>
        </is>
      </c>
      <c r="F163" s="3" t="inlineStr">
        <is>
          <t>Procurement Lead, MENA-PAK</t>
        </is>
      </c>
      <c r="G163" s="3" t="inlineStr">
        <is>
          <t>PO PO000128 is 6 days past promised date, open qty 690</t>
        </is>
      </c>
      <c r="H163" s="18" t="n">
        <v>46326</v>
      </c>
      <c r="I163" s="3" t="inlineStr">
        <is>
          <t>Open</t>
        </is>
      </c>
      <c r="J163" s="3" t="n">
        <v>0</v>
      </c>
      <c r="K163" s="3" t="n">
        <v>0</v>
      </c>
      <c r="L163" s="18" t="n">
        <v>46321</v>
      </c>
      <c r="M163" s="18" t="n">
        <v>46321</v>
      </c>
      <c r="N163" s="3" t="inlineStr">
        <is>
          <t>exception</t>
        </is>
      </c>
      <c r="O163" s="3" t="inlineStr"/>
    </row>
    <row r="164">
      <c r="A164" s="3" t="inlineStr">
        <is>
          <t>ACT-0163</t>
        </is>
      </c>
      <c r="B164" s="3" t="inlineStr">
        <is>
          <t>India</t>
        </is>
      </c>
      <c r="C164" s="3" t="inlineStr">
        <is>
          <t>P2</t>
        </is>
      </c>
      <c r="D164" s="3" t="inlineStr">
        <is>
          <t>LATE_PO</t>
        </is>
      </c>
      <c r="E164" s="3" t="inlineStr">
        <is>
          <t>PO000056</t>
        </is>
      </c>
      <c r="F164" s="3" t="inlineStr">
        <is>
          <t>Procurement Lead, India</t>
        </is>
      </c>
      <c r="G164" s="3" t="inlineStr">
        <is>
          <t>PO PO000056 is 7 days past promised date, open qty 1443</t>
        </is>
      </c>
      <c r="H164" s="18" t="n">
        <v>46326</v>
      </c>
      <c r="I164" s="3" t="inlineStr">
        <is>
          <t>Open</t>
        </is>
      </c>
      <c r="J164" s="3" t="n">
        <v>0</v>
      </c>
      <c r="K164" s="3" t="n">
        <v>0</v>
      </c>
      <c r="L164" s="18" t="n">
        <v>46321</v>
      </c>
      <c r="M164" s="18" t="n">
        <v>46321</v>
      </c>
      <c r="N164" s="3" t="inlineStr">
        <is>
          <t>exception</t>
        </is>
      </c>
      <c r="O164" s="3" t="inlineStr"/>
    </row>
    <row r="165">
      <c r="A165" s="3" t="inlineStr">
        <is>
          <t>ACT-0164</t>
        </is>
      </c>
      <c r="B165" s="3" t="inlineStr">
        <is>
          <t>India</t>
        </is>
      </c>
      <c r="C165" s="3" t="inlineStr">
        <is>
          <t>P1</t>
        </is>
      </c>
      <c r="D165" s="3" t="inlineStr">
        <is>
          <t>LATE_PO</t>
        </is>
      </c>
      <c r="E165" s="3" t="inlineStr">
        <is>
          <t>PO000106</t>
        </is>
      </c>
      <c r="F165" s="3" t="inlineStr">
        <is>
          <t>Procurement Lead, India</t>
        </is>
      </c>
      <c r="G165" s="3" t="inlineStr">
        <is>
          <t>PO PO000106 is 9 days past promised date, open qty 150</t>
        </is>
      </c>
      <c r="H165" s="18" t="n">
        <v>46323</v>
      </c>
      <c r="I165" s="3" t="inlineStr">
        <is>
          <t>Open</t>
        </is>
      </c>
      <c r="J165" s="3" t="n">
        <v>0</v>
      </c>
      <c r="K165" s="3" t="n">
        <v>0</v>
      </c>
      <c r="L165" s="18" t="n">
        <v>46321</v>
      </c>
      <c r="M165" s="18" t="n">
        <v>46321</v>
      </c>
      <c r="N165" s="3" t="inlineStr">
        <is>
          <t>exception</t>
        </is>
      </c>
      <c r="O165" s="3" t="inlineStr"/>
    </row>
    <row r="166">
      <c r="A166" s="3" t="inlineStr">
        <is>
          <t>ACT-0165</t>
        </is>
      </c>
      <c r="B166" s="3" t="inlineStr">
        <is>
          <t>India</t>
        </is>
      </c>
      <c r="C166" s="3" t="inlineStr">
        <is>
          <t>P2</t>
        </is>
      </c>
      <c r="D166" s="3" t="inlineStr">
        <is>
          <t>LATE_PO</t>
        </is>
      </c>
      <c r="E166" s="3" t="inlineStr">
        <is>
          <t>PO000154</t>
        </is>
      </c>
      <c r="F166" s="3" t="inlineStr">
        <is>
          <t>Procurement Lead, India</t>
        </is>
      </c>
      <c r="G166" s="3" t="inlineStr">
        <is>
          <t>PO PO000154 is 10 days past promised date, open qty 77</t>
        </is>
      </c>
      <c r="H166" s="18" t="n">
        <v>46326</v>
      </c>
      <c r="I166" s="3" t="inlineStr">
        <is>
          <t>Open</t>
        </is>
      </c>
      <c r="J166" s="3" t="n">
        <v>0</v>
      </c>
      <c r="K166" s="3" t="n">
        <v>0</v>
      </c>
      <c r="L166" s="18" t="n">
        <v>46321</v>
      </c>
      <c r="M166" s="18" t="n">
        <v>46321</v>
      </c>
      <c r="N166" s="3" t="inlineStr">
        <is>
          <t>exception</t>
        </is>
      </c>
      <c r="O166" s="3" t="inlineStr"/>
    </row>
    <row r="167">
      <c r="A167" s="3" t="inlineStr">
        <is>
          <t>ACT-0166</t>
        </is>
      </c>
      <c r="B167" s="3" t="inlineStr">
        <is>
          <t>South Africa</t>
        </is>
      </c>
      <c r="C167" s="3" t="inlineStr">
        <is>
          <t>P2</t>
        </is>
      </c>
      <c r="D167" s="3" t="inlineStr">
        <is>
          <t>LATE_PO</t>
        </is>
      </c>
      <c r="E167" s="3" t="inlineStr">
        <is>
          <t>PO000155</t>
        </is>
      </c>
      <c r="F167" s="3" t="inlineStr">
        <is>
          <t>Procurement Lead, South Africa</t>
        </is>
      </c>
      <c r="G167" s="3" t="inlineStr">
        <is>
          <t>PO PO000155 is 9 days past promised date, open qty 340</t>
        </is>
      </c>
      <c r="H167" s="18" t="n">
        <v>46326</v>
      </c>
      <c r="I167" s="3" t="inlineStr">
        <is>
          <t>Open</t>
        </is>
      </c>
      <c r="J167" s="3" t="n">
        <v>0</v>
      </c>
      <c r="K167" s="3" t="n">
        <v>0</v>
      </c>
      <c r="L167" s="18" t="n">
        <v>46321</v>
      </c>
      <c r="M167" s="18" t="n">
        <v>46321</v>
      </c>
      <c r="N167" s="3" t="inlineStr">
        <is>
          <t>exception</t>
        </is>
      </c>
      <c r="O167" s="3" t="inlineStr"/>
    </row>
    <row r="168">
      <c r="A168" s="3" t="inlineStr">
        <is>
          <t>ACT-0167</t>
        </is>
      </c>
      <c r="B168" s="3" t="inlineStr">
        <is>
          <t>MENA-PAK</t>
        </is>
      </c>
      <c r="C168" s="3" t="inlineStr">
        <is>
          <t>P2</t>
        </is>
      </c>
      <c r="D168" s="3" t="inlineStr">
        <is>
          <t>LATE_PO</t>
        </is>
      </c>
      <c r="E168" s="3" t="inlineStr">
        <is>
          <t>PO000105</t>
        </is>
      </c>
      <c r="F168" s="3" t="inlineStr">
        <is>
          <t>Procurement Lead, MENA-PAK</t>
        </is>
      </c>
      <c r="G168" s="3" t="inlineStr">
        <is>
          <t>PO PO000105 is 12 days past promised date, open qty 742</t>
        </is>
      </c>
      <c r="H168" s="18" t="n">
        <v>46326</v>
      </c>
      <c r="I168" s="3" t="inlineStr">
        <is>
          <t>Open</t>
        </is>
      </c>
      <c r="J168" s="3" t="n">
        <v>0</v>
      </c>
      <c r="K168" s="3" t="n">
        <v>0</v>
      </c>
      <c r="L168" s="18" t="n">
        <v>46321</v>
      </c>
      <c r="M168" s="18" t="n">
        <v>46321</v>
      </c>
      <c r="N168" s="3" t="inlineStr">
        <is>
          <t>exception</t>
        </is>
      </c>
      <c r="O168" s="3" t="inlineStr"/>
    </row>
    <row r="169">
      <c r="A169" s="3" t="inlineStr">
        <is>
          <t>ACT-0168</t>
        </is>
      </c>
      <c r="B169" s="3" t="inlineStr">
        <is>
          <t>India</t>
        </is>
      </c>
      <c r="C169" s="3" t="inlineStr">
        <is>
          <t>P2</t>
        </is>
      </c>
      <c r="D169" s="3" t="inlineStr">
        <is>
          <t>LATE_PO</t>
        </is>
      </c>
      <c r="E169" s="3" t="inlineStr">
        <is>
          <t>PO000125</t>
        </is>
      </c>
      <c r="F169" s="3" t="inlineStr">
        <is>
          <t>Procurement Lead, India</t>
        </is>
      </c>
      <c r="G169" s="3" t="inlineStr">
        <is>
          <t>PO PO000125 is 10 days past promised date, open qty 270</t>
        </is>
      </c>
      <c r="H169" s="18" t="n">
        <v>46326</v>
      </c>
      <c r="I169" s="3" t="inlineStr">
        <is>
          <t>Open</t>
        </is>
      </c>
      <c r="J169" s="3" t="n">
        <v>0</v>
      </c>
      <c r="K169" s="3" t="n">
        <v>0</v>
      </c>
      <c r="L169" s="18" t="n">
        <v>46321</v>
      </c>
      <c r="M169" s="18" t="n">
        <v>46321</v>
      </c>
      <c r="N169" s="3" t="inlineStr">
        <is>
          <t>exception</t>
        </is>
      </c>
      <c r="O169" s="3" t="inlineStr"/>
    </row>
    <row r="170">
      <c r="A170" s="3" t="inlineStr">
        <is>
          <t>ACT-0169</t>
        </is>
      </c>
      <c r="B170" s="3" t="inlineStr">
        <is>
          <t>India</t>
        </is>
      </c>
      <c r="C170" s="3" t="inlineStr">
        <is>
          <t>P2</t>
        </is>
      </c>
      <c r="D170" s="3" t="inlineStr">
        <is>
          <t>LATE_PO</t>
        </is>
      </c>
      <c r="E170" s="3" t="inlineStr">
        <is>
          <t>PO000167</t>
        </is>
      </c>
      <c r="F170" s="3" t="inlineStr">
        <is>
          <t>Procurement Lead, India</t>
        </is>
      </c>
      <c r="G170" s="3" t="inlineStr">
        <is>
          <t>PO PO000167 is 9 days past promised date, open qty 121</t>
        </is>
      </c>
      <c r="H170" s="18" t="n">
        <v>46326</v>
      </c>
      <c r="I170" s="3" t="inlineStr">
        <is>
          <t>Open</t>
        </is>
      </c>
      <c r="J170" s="3" t="n">
        <v>0</v>
      </c>
      <c r="K170" s="3" t="n">
        <v>0</v>
      </c>
      <c r="L170" s="18" t="n">
        <v>46321</v>
      </c>
      <c r="M170" s="18" t="n">
        <v>46321</v>
      </c>
      <c r="N170" s="3" t="inlineStr">
        <is>
          <t>exception</t>
        </is>
      </c>
      <c r="O170" s="3" t="inlineStr"/>
    </row>
    <row r="171">
      <c r="A171" s="3" t="inlineStr">
        <is>
          <t>ACT-0170</t>
        </is>
      </c>
      <c r="B171" s="3" t="inlineStr">
        <is>
          <t>MENA-PAK</t>
        </is>
      </c>
      <c r="C171" s="3" t="inlineStr">
        <is>
          <t>P2</t>
        </is>
      </c>
      <c r="D171" s="3" t="inlineStr">
        <is>
          <t>LATE_PO</t>
        </is>
      </c>
      <c r="E171" s="3" t="inlineStr">
        <is>
          <t>PO000035</t>
        </is>
      </c>
      <c r="F171" s="3" t="inlineStr">
        <is>
          <t>Procurement Lead, MENA-PAK</t>
        </is>
      </c>
      <c r="G171" s="3" t="inlineStr">
        <is>
          <t>PO PO000035 is 12 days past promised date, open qty 193</t>
        </is>
      </c>
      <c r="H171" s="18" t="n">
        <v>46326</v>
      </c>
      <c r="I171" s="3" t="inlineStr">
        <is>
          <t>Open</t>
        </is>
      </c>
      <c r="J171" s="3" t="n">
        <v>0</v>
      </c>
      <c r="K171" s="3" t="n">
        <v>0</v>
      </c>
      <c r="L171" s="18" t="n">
        <v>46321</v>
      </c>
      <c r="M171" s="18" t="n">
        <v>46321</v>
      </c>
      <c r="N171" s="3" t="inlineStr">
        <is>
          <t>exception</t>
        </is>
      </c>
      <c r="O171" s="3" t="inlineStr"/>
    </row>
    <row r="172">
      <c r="A172" s="3" t="inlineStr">
        <is>
          <t>ACT-0171</t>
        </is>
      </c>
      <c r="B172" s="3" t="inlineStr">
        <is>
          <t>MENA-PAK</t>
        </is>
      </c>
      <c r="C172" s="3" t="inlineStr">
        <is>
          <t>P2</t>
        </is>
      </c>
      <c r="D172" s="3" t="inlineStr">
        <is>
          <t>LATE_PO</t>
        </is>
      </c>
      <c r="E172" s="3" t="inlineStr">
        <is>
          <t>PO000123</t>
        </is>
      </c>
      <c r="F172" s="3" t="inlineStr">
        <is>
          <t>Procurement Lead, MENA-PAK</t>
        </is>
      </c>
      <c r="G172" s="3" t="inlineStr">
        <is>
          <t>PO PO000123 is 3 days past promised date, open qty 658</t>
        </is>
      </c>
      <c r="H172" s="18" t="n">
        <v>46326</v>
      </c>
      <c r="I172" s="3" t="inlineStr">
        <is>
          <t>Open</t>
        </is>
      </c>
      <c r="J172" s="3" t="n">
        <v>0</v>
      </c>
      <c r="K172" s="3" t="n">
        <v>0</v>
      </c>
      <c r="L172" s="18" t="n">
        <v>46321</v>
      </c>
      <c r="M172" s="18" t="n">
        <v>46321</v>
      </c>
      <c r="N172" s="3" t="inlineStr">
        <is>
          <t>exception</t>
        </is>
      </c>
      <c r="O172" s="3" t="inlineStr"/>
    </row>
    <row r="173">
      <c r="A173" s="3" t="inlineStr">
        <is>
          <t>ACT-0172</t>
        </is>
      </c>
      <c r="B173" s="3" t="inlineStr">
        <is>
          <t>India</t>
        </is>
      </c>
      <c r="C173" s="3" t="inlineStr">
        <is>
          <t>P2</t>
        </is>
      </c>
      <c r="D173" s="3" t="inlineStr">
        <is>
          <t>LATE_PO</t>
        </is>
      </c>
      <c r="E173" s="3" t="inlineStr">
        <is>
          <t>PO000223</t>
        </is>
      </c>
      <c r="F173" s="3" t="inlineStr">
        <is>
          <t>Procurement Lead, India</t>
        </is>
      </c>
      <c r="G173" s="3" t="inlineStr">
        <is>
          <t>PO PO000223 is 8 days past promised date, open qty 145</t>
        </is>
      </c>
      <c r="H173" s="18" t="n">
        <v>46326</v>
      </c>
      <c r="I173" s="3" t="inlineStr">
        <is>
          <t>Open</t>
        </is>
      </c>
      <c r="J173" s="3" t="n">
        <v>0</v>
      </c>
      <c r="K173" s="3" t="n">
        <v>0</v>
      </c>
      <c r="L173" s="18" t="n">
        <v>46321</v>
      </c>
      <c r="M173" s="18" t="n">
        <v>46321</v>
      </c>
      <c r="N173" s="3" t="inlineStr">
        <is>
          <t>exception</t>
        </is>
      </c>
      <c r="O173" s="3" t="inlineStr"/>
    </row>
    <row r="174">
      <c r="A174" s="3" t="inlineStr">
        <is>
          <t>ACT-0173</t>
        </is>
      </c>
      <c r="B174" s="3" t="inlineStr">
        <is>
          <t>South Africa</t>
        </is>
      </c>
      <c r="C174" s="3" t="inlineStr">
        <is>
          <t>P2</t>
        </is>
      </c>
      <c r="D174" s="3" t="inlineStr">
        <is>
          <t>LATE_PO</t>
        </is>
      </c>
      <c r="E174" s="3" t="inlineStr">
        <is>
          <t>PO000065</t>
        </is>
      </c>
      <c r="F174" s="3" t="inlineStr">
        <is>
          <t>Procurement Lead, South Africa</t>
        </is>
      </c>
      <c r="G174" s="3" t="inlineStr">
        <is>
          <t>PO PO000065 is 8 days past promised date, open qty 766</t>
        </is>
      </c>
      <c r="H174" s="18" t="n">
        <v>46326</v>
      </c>
      <c r="I174" s="3" t="inlineStr">
        <is>
          <t>Open</t>
        </is>
      </c>
      <c r="J174" s="3" t="n">
        <v>0</v>
      </c>
      <c r="K174" s="3" t="n">
        <v>0</v>
      </c>
      <c r="L174" s="18" t="n">
        <v>46321</v>
      </c>
      <c r="M174" s="18" t="n">
        <v>46321</v>
      </c>
      <c r="N174" s="3" t="inlineStr">
        <is>
          <t>exception</t>
        </is>
      </c>
      <c r="O174" s="3" t="inlineStr"/>
    </row>
    <row r="175">
      <c r="A175" s="3" t="inlineStr">
        <is>
          <t>ACT-0174</t>
        </is>
      </c>
      <c r="B175" s="3" t="inlineStr">
        <is>
          <t>MENA-PAK</t>
        </is>
      </c>
      <c r="C175" s="3" t="inlineStr">
        <is>
          <t>P2</t>
        </is>
      </c>
      <c r="D175" s="3" t="inlineStr">
        <is>
          <t>LATE_PO</t>
        </is>
      </c>
      <c r="E175" s="3" t="inlineStr">
        <is>
          <t>PO000166</t>
        </is>
      </c>
      <c r="F175" s="3" t="inlineStr">
        <is>
          <t>Procurement Lead, MENA-PAK</t>
        </is>
      </c>
      <c r="G175" s="3" t="inlineStr">
        <is>
          <t>PO PO000166 is 4 days past promised date, open qty 803</t>
        </is>
      </c>
      <c r="H175" s="18" t="n">
        <v>46326</v>
      </c>
      <c r="I175" s="3" t="inlineStr">
        <is>
          <t>Open</t>
        </is>
      </c>
      <c r="J175" s="3" t="n">
        <v>0</v>
      </c>
      <c r="K175" s="3" t="n">
        <v>0</v>
      </c>
      <c r="L175" s="18" t="n">
        <v>46321</v>
      </c>
      <c r="M175" s="18" t="n">
        <v>46321</v>
      </c>
      <c r="N175" s="3" t="inlineStr">
        <is>
          <t>exception</t>
        </is>
      </c>
      <c r="O175" s="3" t="inlineStr"/>
    </row>
    <row r="176">
      <c r="A176" s="3" t="inlineStr">
        <is>
          <t>ACT-0175</t>
        </is>
      </c>
      <c r="B176" s="3" t="inlineStr">
        <is>
          <t>South Africa</t>
        </is>
      </c>
      <c r="C176" s="3" t="inlineStr">
        <is>
          <t>P2</t>
        </is>
      </c>
      <c r="D176" s="3" t="inlineStr">
        <is>
          <t>LATE_PO</t>
        </is>
      </c>
      <c r="E176" s="3" t="inlineStr">
        <is>
          <t>PO000113</t>
        </is>
      </c>
      <c r="F176" s="3" t="inlineStr">
        <is>
          <t>Procurement Lead, South Africa</t>
        </is>
      </c>
      <c r="G176" s="3" t="inlineStr">
        <is>
          <t>PO PO000113 is 4 days past promised date, open qty 489</t>
        </is>
      </c>
      <c r="H176" s="18" t="n">
        <v>46326</v>
      </c>
      <c r="I176" s="3" t="inlineStr">
        <is>
          <t>Open</t>
        </is>
      </c>
      <c r="J176" s="3" t="n">
        <v>0</v>
      </c>
      <c r="K176" s="3" t="n">
        <v>0</v>
      </c>
      <c r="L176" s="18" t="n">
        <v>46321</v>
      </c>
      <c r="M176" s="18" t="n">
        <v>46321</v>
      </c>
      <c r="N176" s="3" t="inlineStr">
        <is>
          <t>exception</t>
        </is>
      </c>
      <c r="O176" s="3" t="inlineStr"/>
    </row>
    <row r="177">
      <c r="A177" s="3" t="inlineStr">
        <is>
          <t>ACT-0176</t>
        </is>
      </c>
      <c r="B177" s="3" t="inlineStr">
        <is>
          <t>MENA-PAK</t>
        </is>
      </c>
      <c r="C177" s="3" t="inlineStr">
        <is>
          <t>P2</t>
        </is>
      </c>
      <c r="D177" s="3" t="inlineStr">
        <is>
          <t>LATE_PO</t>
        </is>
      </c>
      <c r="E177" s="3" t="inlineStr">
        <is>
          <t>PO000145</t>
        </is>
      </c>
      <c r="F177" s="3" t="inlineStr">
        <is>
          <t>Procurement Lead, MENA-PAK</t>
        </is>
      </c>
      <c r="G177" s="3" t="inlineStr">
        <is>
          <t>PO PO000145 is 7 days past promised date, open qty 49</t>
        </is>
      </c>
      <c r="H177" s="18" t="n">
        <v>46326</v>
      </c>
      <c r="I177" s="3" t="inlineStr">
        <is>
          <t>Open</t>
        </is>
      </c>
      <c r="J177" s="3" t="n">
        <v>0</v>
      </c>
      <c r="K177" s="3" t="n">
        <v>0</v>
      </c>
      <c r="L177" s="18" t="n">
        <v>46321</v>
      </c>
      <c r="M177" s="18" t="n">
        <v>46321</v>
      </c>
      <c r="N177" s="3" t="inlineStr">
        <is>
          <t>exception</t>
        </is>
      </c>
      <c r="O177" s="3" t="inlineStr"/>
    </row>
    <row r="178">
      <c r="A178" s="3" t="inlineStr">
        <is>
          <t>ACT-0177</t>
        </is>
      </c>
      <c r="B178" s="3" t="inlineStr">
        <is>
          <t>India</t>
        </is>
      </c>
      <c r="C178" s="3" t="inlineStr">
        <is>
          <t>P2</t>
        </is>
      </c>
      <c r="D178" s="3" t="inlineStr">
        <is>
          <t>LATE_PO</t>
        </is>
      </c>
      <c r="E178" s="3" t="inlineStr">
        <is>
          <t>PO000124</t>
        </is>
      </c>
      <c r="F178" s="3" t="inlineStr">
        <is>
          <t>Procurement Lead, India</t>
        </is>
      </c>
      <c r="G178" s="3" t="inlineStr">
        <is>
          <t>PO PO000124 is 8 days past promised date, open qty 472</t>
        </is>
      </c>
      <c r="H178" s="18" t="n">
        <v>46326</v>
      </c>
      <c r="I178" s="3" t="inlineStr">
        <is>
          <t>Open</t>
        </is>
      </c>
      <c r="J178" s="3" t="n">
        <v>0</v>
      </c>
      <c r="K178" s="3" t="n">
        <v>0</v>
      </c>
      <c r="L178" s="18" t="n">
        <v>46321</v>
      </c>
      <c r="M178" s="18" t="n">
        <v>46321</v>
      </c>
      <c r="N178" s="3" t="inlineStr">
        <is>
          <t>exception</t>
        </is>
      </c>
      <c r="O178" s="3" t="inlineStr"/>
    </row>
    <row r="179">
      <c r="A179" s="3" t="inlineStr">
        <is>
          <t>ACT-0178</t>
        </is>
      </c>
      <c r="B179" s="3" t="inlineStr">
        <is>
          <t>India</t>
        </is>
      </c>
      <c r="C179" s="3" t="inlineStr">
        <is>
          <t>P2</t>
        </is>
      </c>
      <c r="D179" s="3" t="inlineStr">
        <is>
          <t>LATE_PO</t>
        </is>
      </c>
      <c r="E179" s="3" t="inlineStr">
        <is>
          <t>PO000192</t>
        </is>
      </c>
      <c r="F179" s="3" t="inlineStr">
        <is>
          <t>Procurement Lead, India</t>
        </is>
      </c>
      <c r="G179" s="3" t="inlineStr">
        <is>
          <t>PO PO000192 is 7 days past promised date, open qty 293</t>
        </is>
      </c>
      <c r="H179" s="18" t="n">
        <v>46326</v>
      </c>
      <c r="I179" s="3" t="inlineStr">
        <is>
          <t>Open</t>
        </is>
      </c>
      <c r="J179" s="3" t="n">
        <v>0</v>
      </c>
      <c r="K179" s="3" t="n">
        <v>0</v>
      </c>
      <c r="L179" s="18" t="n">
        <v>46321</v>
      </c>
      <c r="M179" s="18" t="n">
        <v>46321</v>
      </c>
      <c r="N179" s="3" t="inlineStr">
        <is>
          <t>exception</t>
        </is>
      </c>
      <c r="O179" s="3" t="inlineStr"/>
    </row>
    <row r="180">
      <c r="A180" s="3" t="inlineStr">
        <is>
          <t>ACT-0179</t>
        </is>
      </c>
      <c r="B180" s="3" t="inlineStr">
        <is>
          <t>India</t>
        </is>
      </c>
      <c r="C180" s="3" t="inlineStr">
        <is>
          <t>P2</t>
        </is>
      </c>
      <c r="D180" s="3" t="inlineStr">
        <is>
          <t>LATE_PO</t>
        </is>
      </c>
      <c r="E180" s="3" t="inlineStr">
        <is>
          <t>PO000180</t>
        </is>
      </c>
      <c r="F180" s="3" t="inlineStr">
        <is>
          <t>Procurement Lead, India</t>
        </is>
      </c>
      <c r="G180" s="3" t="inlineStr">
        <is>
          <t>PO PO000180 is 5 days past promised date, open qty 163</t>
        </is>
      </c>
      <c r="H180" s="18" t="n">
        <v>46326</v>
      </c>
      <c r="I180" s="3" t="inlineStr">
        <is>
          <t>Open</t>
        </is>
      </c>
      <c r="J180" s="3" t="n">
        <v>0</v>
      </c>
      <c r="K180" s="3" t="n">
        <v>0</v>
      </c>
      <c r="L180" s="18" t="n">
        <v>46321</v>
      </c>
      <c r="M180" s="18" t="n">
        <v>46321</v>
      </c>
      <c r="N180" s="3" t="inlineStr">
        <is>
          <t>exception</t>
        </is>
      </c>
      <c r="O180" s="3" t="inlineStr"/>
    </row>
    <row r="181">
      <c r="A181" s="3" t="inlineStr">
        <is>
          <t>ACT-0180</t>
        </is>
      </c>
      <c r="B181" s="3" t="inlineStr">
        <is>
          <t>APAC</t>
        </is>
      </c>
      <c r="C181" s="3" t="inlineStr">
        <is>
          <t>P2</t>
        </is>
      </c>
      <c r="D181" s="3" t="inlineStr">
        <is>
          <t>DATA_QUALITY</t>
        </is>
      </c>
      <c r="E181" s="3" t="inlineStr">
        <is>
          <t>INV_DUP</t>
        </is>
      </c>
      <c r="F181" s="3" t="inlineStr">
        <is>
          <t>Data Steward, APAC</t>
        </is>
      </c>
      <c r="G181" s="3" t="inlineStr">
        <is>
          <t>Duplicate (market, sku) rows in inventory extract: 2 row(s)</t>
        </is>
      </c>
      <c r="H181" s="18" t="n">
        <v>46326</v>
      </c>
      <c r="I181" s="3" t="inlineStr">
        <is>
          <t>Open</t>
        </is>
      </c>
      <c r="J181" s="3" t="n">
        <v>0</v>
      </c>
      <c r="K181" s="3" t="n">
        <v>0</v>
      </c>
      <c r="L181" s="18" t="n">
        <v>46321</v>
      </c>
      <c r="M181" s="18" t="n">
        <v>46321</v>
      </c>
      <c r="N181" s="3" t="inlineStr">
        <is>
          <t>exception</t>
        </is>
      </c>
      <c r="O181" s="3" t="inlineStr"/>
    </row>
    <row r="182">
      <c r="A182" s="3" t="inlineStr">
        <is>
          <t>ACT-0181</t>
        </is>
      </c>
      <c r="B182" s="3" t="inlineStr">
        <is>
          <t>India</t>
        </is>
      </c>
      <c r="C182" s="3" t="inlineStr">
        <is>
          <t>P2</t>
        </is>
      </c>
      <c r="D182" s="3" t="inlineStr">
        <is>
          <t>DATA_QUALITY</t>
        </is>
      </c>
      <c r="E182" s="3" t="inlineStr">
        <is>
          <t>INV_DUP</t>
        </is>
      </c>
      <c r="F182" s="3" t="inlineStr">
        <is>
          <t>Data Steward, India</t>
        </is>
      </c>
      <c r="G182" s="3" t="inlineStr">
        <is>
          <t>Duplicate (market, sku) rows in inventory extract: 2 row(s)</t>
        </is>
      </c>
      <c r="H182" s="18" t="n">
        <v>46326</v>
      </c>
      <c r="I182" s="3" t="inlineStr">
        <is>
          <t>Open</t>
        </is>
      </c>
      <c r="J182" s="3" t="n">
        <v>0</v>
      </c>
      <c r="K182" s="3" t="n">
        <v>0</v>
      </c>
      <c r="L182" s="18" t="n">
        <v>46321</v>
      </c>
      <c r="M182" s="18" t="n">
        <v>46321</v>
      </c>
      <c r="N182" s="3" t="inlineStr">
        <is>
          <t>exception</t>
        </is>
      </c>
      <c r="O182" s="3" t="inlineStr"/>
    </row>
    <row r="183">
      <c r="A183" s="3" t="inlineStr">
        <is>
          <t>ACT-0182</t>
        </is>
      </c>
      <c r="B183" s="3" t="inlineStr">
        <is>
          <t>MENA-PAK</t>
        </is>
      </c>
      <c r="C183" s="3" t="inlineStr">
        <is>
          <t>P2</t>
        </is>
      </c>
      <c r="D183" s="3" t="inlineStr">
        <is>
          <t>DATA_QUALITY</t>
        </is>
      </c>
      <c r="E183" s="3" t="inlineStr">
        <is>
          <t>INV_DUP</t>
        </is>
      </c>
      <c r="F183" s="3" t="inlineStr">
        <is>
          <t>Data Steward, MENA-PAK</t>
        </is>
      </c>
      <c r="G183" s="3" t="inlineStr">
        <is>
          <t>Duplicate (market, sku) rows in inventory extract: 2 row(s)</t>
        </is>
      </c>
      <c r="H183" s="18" t="n">
        <v>46326</v>
      </c>
      <c r="I183" s="3" t="inlineStr">
        <is>
          <t>Open</t>
        </is>
      </c>
      <c r="J183" s="3" t="n">
        <v>0</v>
      </c>
      <c r="K183" s="3" t="n">
        <v>0</v>
      </c>
      <c r="L183" s="18" t="n">
        <v>46321</v>
      </c>
      <c r="M183" s="18" t="n">
        <v>46321</v>
      </c>
      <c r="N183" s="3" t="inlineStr">
        <is>
          <t>exception</t>
        </is>
      </c>
      <c r="O183" s="3" t="inlineStr"/>
    </row>
    <row r="184">
      <c r="A184" s="3" t="inlineStr">
        <is>
          <t>ACT-0183</t>
        </is>
      </c>
      <c r="B184" s="3" t="inlineStr">
        <is>
          <t>South Africa</t>
        </is>
      </c>
      <c r="C184" s="3" t="inlineStr">
        <is>
          <t>P2</t>
        </is>
      </c>
      <c r="D184" s="3" t="inlineStr">
        <is>
          <t>DATA_QUALITY</t>
        </is>
      </c>
      <c r="E184" s="3" t="inlineStr">
        <is>
          <t>INV_DUP</t>
        </is>
      </c>
      <c r="F184" s="3" t="inlineStr">
        <is>
          <t>Data Steward, South Africa</t>
        </is>
      </c>
      <c r="G184" s="3" t="inlineStr">
        <is>
          <t>Duplicate (market, sku) rows in inventory extract: 2 row(s)</t>
        </is>
      </c>
      <c r="H184" s="18" t="n">
        <v>46326</v>
      </c>
      <c r="I184" s="3" t="inlineStr">
        <is>
          <t>Open</t>
        </is>
      </c>
      <c r="J184" s="3" t="n">
        <v>0</v>
      </c>
      <c r="K184" s="3" t="n">
        <v>0</v>
      </c>
      <c r="L184" s="18" t="n">
        <v>46321</v>
      </c>
      <c r="M184" s="18" t="n">
        <v>46321</v>
      </c>
      <c r="N184" s="3" t="inlineStr">
        <is>
          <t>exception</t>
        </is>
      </c>
      <c r="O184" s="3" t="inlineStr"/>
    </row>
    <row r="185">
      <c r="A185" s="3" t="inlineStr">
        <is>
          <t>ACT-0184</t>
        </is>
      </c>
      <c r="B185" s="3" t="inlineStr">
        <is>
          <t>APAC</t>
        </is>
      </c>
      <c r="C185" s="3" t="inlineStr">
        <is>
          <t>P1</t>
        </is>
      </c>
      <c r="D185" s="3" t="inlineStr">
        <is>
          <t>DATA_QUALITY</t>
        </is>
      </c>
      <c r="E185" s="3" t="inlineStr">
        <is>
          <t>INV_NEG_ONHAND</t>
        </is>
      </c>
      <c r="F185" s="3" t="inlineStr">
        <is>
          <t>Data Steward, APAC</t>
        </is>
      </c>
      <c r="G185" s="3" t="inlineStr">
        <is>
          <t>Negative on-hand quantity in inventory extract: 2 row(s)</t>
        </is>
      </c>
      <c r="H185" s="18" t="n">
        <v>46323</v>
      </c>
      <c r="I185" s="3" t="inlineStr">
        <is>
          <t>Open</t>
        </is>
      </c>
      <c r="J185" s="3" t="n">
        <v>0</v>
      </c>
      <c r="K185" s="3" t="n">
        <v>0</v>
      </c>
      <c r="L185" s="18" t="n">
        <v>46321</v>
      </c>
      <c r="M185" s="18" t="n">
        <v>46321</v>
      </c>
      <c r="N185" s="3" t="inlineStr">
        <is>
          <t>exception</t>
        </is>
      </c>
      <c r="O185" s="3" t="inlineStr"/>
    </row>
    <row r="186">
      <c r="A186" s="3" t="inlineStr">
        <is>
          <t>ACT-0185</t>
        </is>
      </c>
      <c r="B186" s="3" t="inlineStr">
        <is>
          <t>South Africa</t>
        </is>
      </c>
      <c r="C186" s="3" t="inlineStr">
        <is>
          <t>P3</t>
        </is>
      </c>
      <c r="D186" s="3" t="inlineStr">
        <is>
          <t>FORECAST_DIVERGENCE</t>
        </is>
      </c>
      <c r="E186" s="3" t="inlineStr">
        <is>
          <t>ZA-DEV-017</t>
        </is>
      </c>
      <c r="F186" s="3" t="inlineStr">
        <is>
          <t>Demand Planner, South Africa</t>
        </is>
      </c>
      <c r="G186" s="3" t="inlineStr">
        <is>
          <t>System 4-week forecast 1545 vs ML baseline 1084 (+43%)</t>
        </is>
      </c>
      <c r="H186" s="18" t="n">
        <v>46331</v>
      </c>
      <c r="I186" s="3" t="inlineStr">
        <is>
          <t>Open</t>
        </is>
      </c>
      <c r="J186" s="3" t="n">
        <v>0</v>
      </c>
      <c r="K186" s="3" t="n">
        <v>0</v>
      </c>
      <c r="L186" s="18" t="n">
        <v>46321</v>
      </c>
      <c r="M186" s="18" t="n">
        <v>46321</v>
      </c>
      <c r="N186" s="3" t="inlineStr">
        <is>
          <t>exception</t>
        </is>
      </c>
      <c r="O186" s="3" t="inlineStr"/>
    </row>
    <row r="187">
      <c r="A187" s="3" t="inlineStr">
        <is>
          <t>ACT-0186</t>
        </is>
      </c>
      <c r="B187" s="3" t="inlineStr">
        <is>
          <t>India</t>
        </is>
      </c>
      <c r="C187" s="3" t="inlineStr">
        <is>
          <t>P3</t>
        </is>
      </c>
      <c r="D187" s="3" t="inlineStr">
        <is>
          <t>FORECAST_DIVERGENCE</t>
        </is>
      </c>
      <c r="E187" s="3" t="inlineStr">
        <is>
          <t>IN-NET-031</t>
        </is>
      </c>
      <c r="F187" s="3" t="inlineStr">
        <is>
          <t>Demand Planner, India</t>
        </is>
      </c>
      <c r="G187" s="3" t="inlineStr">
        <is>
          <t>System 4-week forecast 877 vs ML baseline 645 (+36%)</t>
        </is>
      </c>
      <c r="H187" s="18" t="n">
        <v>46331</v>
      </c>
      <c r="I187" s="3" t="inlineStr">
        <is>
          <t>Open</t>
        </is>
      </c>
      <c r="J187" s="3" t="n">
        <v>0</v>
      </c>
      <c r="K187" s="3" t="n">
        <v>0</v>
      </c>
      <c r="L187" s="18" t="n">
        <v>46321</v>
      </c>
      <c r="M187" s="18" t="n">
        <v>46321</v>
      </c>
      <c r="N187" s="3" t="inlineStr">
        <is>
          <t>exception</t>
        </is>
      </c>
      <c r="O187" s="3" t="inlineStr"/>
    </row>
    <row r="188">
      <c r="A188" s="3" t="inlineStr">
        <is>
          <t>ACT-0187</t>
        </is>
      </c>
      <c r="B188" s="3" t="inlineStr">
        <is>
          <t>India</t>
        </is>
      </c>
      <c r="C188" s="3" t="inlineStr">
        <is>
          <t>P3</t>
        </is>
      </c>
      <c r="D188" s="3" t="inlineStr">
        <is>
          <t>FORECAST_DIVERGENCE</t>
        </is>
      </c>
      <c r="E188" s="3" t="inlineStr">
        <is>
          <t>IN-ACC-034</t>
        </is>
      </c>
      <c r="F188" s="3" t="inlineStr">
        <is>
          <t>Demand Planner, India</t>
        </is>
      </c>
      <c r="G188" s="3" t="inlineStr">
        <is>
          <t>System 4-week forecast 589 vs ML baseline 412 (+43%)</t>
        </is>
      </c>
      <c r="H188" s="18" t="n">
        <v>46331</v>
      </c>
      <c r="I188" s="3" t="inlineStr">
        <is>
          <t>Open</t>
        </is>
      </c>
      <c r="J188" s="3" t="n">
        <v>0</v>
      </c>
      <c r="K188" s="3" t="n">
        <v>0</v>
      </c>
      <c r="L188" s="18" t="n">
        <v>46321</v>
      </c>
      <c r="M188" s="18" t="n">
        <v>46321</v>
      </c>
      <c r="N188" s="3" t="inlineStr">
        <is>
          <t>exception</t>
        </is>
      </c>
      <c r="O188" s="3" t="inlineStr"/>
    </row>
    <row r="189">
      <c r="A189" s="3" t="inlineStr">
        <is>
          <t>ACT-0188</t>
        </is>
      </c>
      <c r="B189" s="3" t="inlineStr">
        <is>
          <t>South Africa</t>
        </is>
      </c>
      <c r="C189" s="3" t="inlineStr">
        <is>
          <t>P3</t>
        </is>
      </c>
      <c r="D189" s="3" t="inlineStr">
        <is>
          <t>FORECAST_DIVERGENCE</t>
        </is>
      </c>
      <c r="E189" s="3" t="inlineStr">
        <is>
          <t>ZA-NET-003</t>
        </is>
      </c>
      <c r="F189" s="3" t="inlineStr">
        <is>
          <t>Demand Planner, South Africa</t>
        </is>
      </c>
      <c r="G189" s="3" t="inlineStr">
        <is>
          <t>System 4-week forecast 511 vs ML baseline 358 (+43%)</t>
        </is>
      </c>
      <c r="H189" s="18" t="n">
        <v>46331</v>
      </c>
      <c r="I189" s="3" t="inlineStr">
        <is>
          <t>Open</t>
        </is>
      </c>
      <c r="J189" s="3" t="n">
        <v>0</v>
      </c>
      <c r="K189" s="3" t="n">
        <v>0</v>
      </c>
      <c r="L189" s="18" t="n">
        <v>46321</v>
      </c>
      <c r="M189" s="18" t="n">
        <v>46321</v>
      </c>
      <c r="N189" s="3" t="inlineStr">
        <is>
          <t>exception</t>
        </is>
      </c>
      <c r="O18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6" customWidth="1" min="4" max="4"/>
    <col width="12" customWidth="1" min="5" max="5"/>
    <col width="11" customWidth="1" min="6" max="6"/>
    <col width="80" customWidth="1" min="7" max="7"/>
    <col width="33" customWidth="1" min="8" max="8"/>
  </cols>
  <sheetData>
    <row r="1">
      <c r="A1" s="2" t="inlineStr">
        <is>
          <t>market</t>
        </is>
      </c>
      <c r="B1" s="2" t="inlineStr">
        <is>
          <t>severity</t>
        </is>
      </c>
      <c r="C1" s="2" t="inlineStr">
        <is>
          <t>exc_type</t>
        </is>
      </c>
      <c r="D1" s="2" t="inlineStr">
        <is>
          <t>ref</t>
        </is>
      </c>
      <c r="E1" s="2" t="inlineStr">
        <is>
          <t>sku</t>
        </is>
      </c>
      <c r="F1" s="2" t="inlineStr">
        <is>
          <t>supplier</t>
        </is>
      </c>
      <c r="G1" s="2" t="inlineStr">
        <is>
          <t>detail</t>
        </is>
      </c>
      <c r="H1" s="2" t="inlineStr">
        <is>
          <t>owner_role</t>
        </is>
      </c>
    </row>
    <row r="2">
      <c r="A2" s="3" t="inlineStr">
        <is>
          <t>APAC</t>
        </is>
      </c>
      <c r="B2" s="3" t="inlineStr">
        <is>
          <t>P1</t>
        </is>
      </c>
      <c r="C2" s="3" t="inlineStr">
        <is>
          <t>DATA_QUALITY</t>
        </is>
      </c>
      <c r="D2" s="3" t="inlineStr">
        <is>
          <t>PO_ORPHAN</t>
        </is>
      </c>
      <c r="E2" s="3" t="n"/>
      <c r="F2" s="3" t="n"/>
      <c r="G2" s="3" t="inlineStr">
        <is>
          <t>PO references a SKU that is not in the inventory master: 2 row(s)</t>
        </is>
      </c>
      <c r="H2" s="3" t="inlineStr">
        <is>
          <t>Data Steward, APAC</t>
        </is>
      </c>
    </row>
    <row r="3">
      <c r="A3" s="3" t="inlineStr">
        <is>
          <t>APAC</t>
        </is>
      </c>
      <c r="B3" s="3" t="inlineStr">
        <is>
          <t>P1</t>
        </is>
      </c>
      <c r="C3" s="3" t="inlineStr">
        <is>
          <t>DATA_QUALITY</t>
        </is>
      </c>
      <c r="D3" s="3" t="inlineStr">
        <is>
          <t>INV_STALE</t>
        </is>
      </c>
      <c r="E3" s="3" t="n"/>
      <c r="F3" s="3" t="n"/>
      <c r="G3" s="3" t="inlineStr">
        <is>
          <t>Inventory snapshot older than 3 days at run date: 47 row(s)</t>
        </is>
      </c>
      <c r="H3" s="3" t="inlineStr">
        <is>
          <t>Data Steward, APAC</t>
        </is>
      </c>
    </row>
    <row r="4">
      <c r="A4" s="3" t="inlineStr">
        <is>
          <t>APAC</t>
        </is>
      </c>
      <c r="B4" s="3" t="inlineStr">
        <is>
          <t>P1</t>
        </is>
      </c>
      <c r="C4" s="3" t="inlineStr">
        <is>
          <t>DATA_QUALITY</t>
        </is>
      </c>
      <c r="D4" s="3" t="inlineStr">
        <is>
          <t>INV_NEG_ONHAND</t>
        </is>
      </c>
      <c r="E4" s="3" t="n"/>
      <c r="F4" s="3" t="n"/>
      <c r="G4" s="3" t="inlineStr">
        <is>
          <t>Negative on-hand quantity in inventory extract: 2 row(s)</t>
        </is>
      </c>
      <c r="H4" s="3" t="inlineStr">
        <is>
          <t>Data Steward, APAC</t>
        </is>
      </c>
    </row>
    <row r="5">
      <c r="A5" s="3" t="inlineStr">
        <is>
          <t>APAC</t>
        </is>
      </c>
      <c r="B5" s="3" t="inlineStr">
        <is>
          <t>P1</t>
        </is>
      </c>
      <c r="C5" s="3" t="inlineStr">
        <is>
          <t>LATE_PO</t>
        </is>
      </c>
      <c r="D5" s="3" t="inlineStr">
        <is>
          <t>PO000088</t>
        </is>
      </c>
      <c r="E5" s="3" t="inlineStr">
        <is>
          <t>AP-NET-015</t>
        </is>
      </c>
      <c r="F5" s="3" t="inlineStr">
        <is>
          <t>SUP-AP-03</t>
        </is>
      </c>
      <c r="G5" s="3" t="inlineStr">
        <is>
          <t>PO PO000088 is 7 days past promised date, open qty 696</t>
        </is>
      </c>
      <c r="H5" s="3" t="inlineStr">
        <is>
          <t>Procurement Lead, APAC</t>
        </is>
      </c>
    </row>
    <row r="6">
      <c r="A6" s="3" t="inlineStr">
        <is>
          <t>APAC</t>
        </is>
      </c>
      <c r="B6" s="3" t="inlineStr">
        <is>
          <t>P1</t>
        </is>
      </c>
      <c r="C6" s="3" t="inlineStr">
        <is>
          <t>STOCKOUT_RISK</t>
        </is>
      </c>
      <c r="D6" s="3" t="inlineStr">
        <is>
          <t>AP-ACC-022</t>
        </is>
      </c>
      <c r="E6" s="3" t="inlineStr">
        <is>
          <t>AP-ACC-022</t>
        </is>
      </c>
      <c r="F6" s="3" t="n"/>
      <c r="G6" s="3" t="inlineStr">
        <is>
          <t>Projected stockout in week 2 of 8 (lead time 17 d, cover 9.0 d)</t>
        </is>
      </c>
      <c r="H6" s="3" t="inlineStr">
        <is>
          <t>Supply Planner, APAC</t>
        </is>
      </c>
    </row>
    <row r="7">
      <c r="A7" s="3" t="inlineStr">
        <is>
          <t>APAC</t>
        </is>
      </c>
      <c r="B7" s="3" t="inlineStr">
        <is>
          <t>P1</t>
        </is>
      </c>
      <c r="C7" s="3" t="inlineStr">
        <is>
          <t>STOCKOUT_RISK</t>
        </is>
      </c>
      <c r="D7" s="3" t="inlineStr">
        <is>
          <t>AP-NET-015</t>
        </is>
      </c>
      <c r="E7" s="3" t="inlineStr">
        <is>
          <t>AP-NET-015</t>
        </is>
      </c>
      <c r="F7" s="3" t="n"/>
      <c r="G7" s="3" t="inlineStr">
        <is>
          <t>Projected stockout in week 4 of 8 (lead time 28 d, cover 11.0 d)</t>
        </is>
      </c>
      <c r="H7" s="3" t="inlineStr">
        <is>
          <t>Supply Planner, APAC</t>
        </is>
      </c>
    </row>
    <row r="8">
      <c r="A8" s="3" t="inlineStr">
        <is>
          <t>APAC</t>
        </is>
      </c>
      <c r="B8" s="3" t="inlineStr">
        <is>
          <t>P1</t>
        </is>
      </c>
      <c r="C8" s="3" t="inlineStr">
        <is>
          <t>STOCKOUT_RISK</t>
        </is>
      </c>
      <c r="D8" s="3" t="inlineStr">
        <is>
          <t>AP-NET-019</t>
        </is>
      </c>
      <c r="E8" s="3" t="inlineStr">
        <is>
          <t>AP-NET-019</t>
        </is>
      </c>
      <c r="F8" s="3" t="n"/>
      <c r="G8" s="3" t="inlineStr">
        <is>
          <t>Projected stockout in week 2 of 8 (lead time 33 d, cover 9.0 d)</t>
        </is>
      </c>
      <c r="H8" s="3" t="inlineStr">
        <is>
          <t>Supply Planner, APAC</t>
        </is>
      </c>
    </row>
    <row r="9">
      <c r="A9" s="3" t="inlineStr">
        <is>
          <t>APAC</t>
        </is>
      </c>
      <c r="B9" s="3" t="inlineStr">
        <is>
          <t>P1</t>
        </is>
      </c>
      <c r="C9" s="3" t="inlineStr">
        <is>
          <t>STOCKOUT_RISK</t>
        </is>
      </c>
      <c r="D9" s="3" t="inlineStr">
        <is>
          <t>AP-DEV-041</t>
        </is>
      </c>
      <c r="E9" s="3" t="inlineStr">
        <is>
          <t>AP-DEV-041</t>
        </is>
      </c>
      <c r="F9" s="3" t="n"/>
      <c r="G9" s="3" t="inlineStr">
        <is>
          <t>Projected stockout in week 4 of 8 (lead time 35 d, cover 25.0 d)</t>
        </is>
      </c>
      <c r="H9" s="3" t="inlineStr">
        <is>
          <t>Supply Planner, APAC</t>
        </is>
      </c>
    </row>
    <row r="10">
      <c r="A10" s="3" t="inlineStr">
        <is>
          <t>APAC</t>
        </is>
      </c>
      <c r="B10" s="3" t="inlineStr">
        <is>
          <t>P1</t>
        </is>
      </c>
      <c r="C10" s="3" t="inlineStr">
        <is>
          <t>STOCKOUT_RISK</t>
        </is>
      </c>
      <c r="D10" s="3" t="inlineStr">
        <is>
          <t>AP-NET-007</t>
        </is>
      </c>
      <c r="E10" s="3" t="inlineStr">
        <is>
          <t>AP-NET-007</t>
        </is>
      </c>
      <c r="F10" s="3" t="n"/>
      <c r="G10" s="3" t="inlineStr">
        <is>
          <t>Projected stockout in week 2 of 8 (lead time 28 d, cover 13.0 d)</t>
        </is>
      </c>
      <c r="H10" s="3" t="inlineStr">
        <is>
          <t>Supply Planner, APAC</t>
        </is>
      </c>
    </row>
    <row r="11">
      <c r="A11" s="3" t="inlineStr">
        <is>
          <t>APAC</t>
        </is>
      </c>
      <c r="B11" s="3" t="inlineStr">
        <is>
          <t>P1</t>
        </is>
      </c>
      <c r="C11" s="3" t="inlineStr">
        <is>
          <t>STOCKOUT_RISK</t>
        </is>
      </c>
      <c r="D11" s="3" t="inlineStr">
        <is>
          <t>AP-NET-031</t>
        </is>
      </c>
      <c r="E11" s="3" t="inlineStr">
        <is>
          <t>AP-NET-031</t>
        </is>
      </c>
      <c r="F11" s="3" t="n"/>
      <c r="G11" s="3" t="inlineStr">
        <is>
          <t>Projected stockout in week 4 of 8 (lead time 30 d, cover 26.0 d)</t>
        </is>
      </c>
      <c r="H11" s="3" t="inlineStr">
        <is>
          <t>Supply Planner, APAC</t>
        </is>
      </c>
    </row>
    <row r="12">
      <c r="A12" s="3" t="inlineStr">
        <is>
          <t>India</t>
        </is>
      </c>
      <c r="B12" s="3" t="inlineStr">
        <is>
          <t>P1</t>
        </is>
      </c>
      <c r="C12" s="3" t="inlineStr">
        <is>
          <t>DATA_QUALITY</t>
        </is>
      </c>
      <c r="D12" s="3" t="inlineStr">
        <is>
          <t>PO_ORPHAN</t>
        </is>
      </c>
      <c r="E12" s="3" t="n"/>
      <c r="F12" s="3" t="n"/>
      <c r="G12" s="3" t="inlineStr">
        <is>
          <t>PO references a SKU that is not in the inventory master: 2 row(s)</t>
        </is>
      </c>
      <c r="H12" s="3" t="inlineStr">
        <is>
          <t>Data Steward, India</t>
        </is>
      </c>
    </row>
    <row r="13">
      <c r="A13" s="3" t="inlineStr">
        <is>
          <t>India</t>
        </is>
      </c>
      <c r="B13" s="3" t="inlineStr">
        <is>
          <t>P1</t>
        </is>
      </c>
      <c r="C13" s="3" t="inlineStr">
        <is>
          <t>DATA_QUALITY</t>
        </is>
      </c>
      <c r="D13" s="3" t="inlineStr">
        <is>
          <t>INV_NEG_ONHAND</t>
        </is>
      </c>
      <c r="E13" s="3" t="n"/>
      <c r="F13" s="3" t="n"/>
      <c r="G13" s="3" t="inlineStr">
        <is>
          <t>Negative on-hand quantity in inventory extract: 2 row(s)</t>
        </is>
      </c>
      <c r="H13" s="3" t="inlineStr">
        <is>
          <t>Data Steward, India</t>
        </is>
      </c>
    </row>
    <row r="14">
      <c r="A14" s="3" t="inlineStr">
        <is>
          <t>India</t>
        </is>
      </c>
      <c r="B14" s="3" t="inlineStr">
        <is>
          <t>P1</t>
        </is>
      </c>
      <c r="C14" s="3" t="inlineStr">
        <is>
          <t>LATE_PO</t>
        </is>
      </c>
      <c r="D14" s="3" t="inlineStr">
        <is>
          <t>PO000101</t>
        </is>
      </c>
      <c r="E14" s="3" t="inlineStr">
        <is>
          <t>IN-STO-016</t>
        </is>
      </c>
      <c r="F14" s="3" t="inlineStr">
        <is>
          <t>SUP-IN-03</t>
        </is>
      </c>
      <c r="G14" s="3" t="inlineStr">
        <is>
          <t>PO PO000101 is 1 days past promised date, open qty 200</t>
        </is>
      </c>
      <c r="H14" s="3" t="inlineStr">
        <is>
          <t>Procurement Lead, India</t>
        </is>
      </c>
    </row>
    <row r="15">
      <c r="A15" s="3" t="inlineStr">
        <is>
          <t>India</t>
        </is>
      </c>
      <c r="B15" s="3" t="inlineStr">
        <is>
          <t>P1</t>
        </is>
      </c>
      <c r="C15" s="3" t="inlineStr">
        <is>
          <t>LATE_PO</t>
        </is>
      </c>
      <c r="D15" s="3" t="inlineStr">
        <is>
          <t>PO000106</t>
        </is>
      </c>
      <c r="E15" s="3" t="inlineStr">
        <is>
          <t>IN-DEV-017</t>
        </is>
      </c>
      <c r="F15" s="3" t="inlineStr">
        <is>
          <t>SUP-IN-04</t>
        </is>
      </c>
      <c r="G15" s="3" t="inlineStr">
        <is>
          <t>PO PO000106 is 9 days past promised date, open qty 150</t>
        </is>
      </c>
      <c r="H15" s="3" t="inlineStr">
        <is>
          <t>Procurement Lead, India</t>
        </is>
      </c>
    </row>
    <row r="16">
      <c r="A16" s="3" t="inlineStr">
        <is>
          <t>India</t>
        </is>
      </c>
      <c r="B16" s="3" t="inlineStr">
        <is>
          <t>P1</t>
        </is>
      </c>
      <c r="C16" s="3" t="inlineStr">
        <is>
          <t>LATE_PO</t>
        </is>
      </c>
      <c r="D16" s="3" t="inlineStr">
        <is>
          <t>PO000023</t>
        </is>
      </c>
      <c r="E16" s="3" t="inlineStr">
        <is>
          <t>IN-STO-004</t>
        </is>
      </c>
      <c r="F16" s="3" t="inlineStr">
        <is>
          <t>SUP-IN-03</t>
        </is>
      </c>
      <c r="G16" s="3" t="inlineStr">
        <is>
          <t>PO PO000023 is 3 days past promised date, open qty 189</t>
        </is>
      </c>
      <c r="H16" s="3" t="inlineStr">
        <is>
          <t>Procurement Lead, India</t>
        </is>
      </c>
    </row>
    <row r="17">
      <c r="A17" s="3" t="inlineStr">
        <is>
          <t>India</t>
        </is>
      </c>
      <c r="B17" s="3" t="inlineStr">
        <is>
          <t>P1</t>
        </is>
      </c>
      <c r="C17" s="3" t="inlineStr">
        <is>
          <t>STOCKOUT_RISK</t>
        </is>
      </c>
      <c r="D17" s="3" t="inlineStr">
        <is>
          <t>IN-STO-016</t>
        </is>
      </c>
      <c r="E17" s="3" t="inlineStr">
        <is>
          <t>IN-STO-016</t>
        </is>
      </c>
      <c r="F17" s="3" t="n"/>
      <c r="G17" s="3" t="inlineStr">
        <is>
          <t>Projected stockout in week 2 of 8 (lead time 14 d, cover 11.0 d)</t>
        </is>
      </c>
      <c r="H17" s="3" t="inlineStr">
        <is>
          <t>Supply Planner, India</t>
        </is>
      </c>
    </row>
    <row r="18">
      <c r="A18" s="3" t="inlineStr">
        <is>
          <t>India</t>
        </is>
      </c>
      <c r="B18" s="3" t="inlineStr">
        <is>
          <t>P1</t>
        </is>
      </c>
      <c r="C18" s="3" t="inlineStr">
        <is>
          <t>STOCKOUT_RISK</t>
        </is>
      </c>
      <c r="D18" s="3" t="inlineStr">
        <is>
          <t>IN-DEV-017</t>
        </is>
      </c>
      <c r="E18" s="3" t="inlineStr">
        <is>
          <t>IN-DEV-017</t>
        </is>
      </c>
      <c r="F18" s="3" t="n"/>
      <c r="G18" s="3" t="inlineStr">
        <is>
          <t>Projected stockout in week 1 of 8 (lead time 12 d, cover 6.0 d)</t>
        </is>
      </c>
      <c r="H18" s="3" t="inlineStr">
        <is>
          <t>Supply Planner, India</t>
        </is>
      </c>
    </row>
    <row r="19">
      <c r="A19" s="3" t="inlineStr">
        <is>
          <t>India</t>
        </is>
      </c>
      <c r="B19" s="3" t="inlineStr">
        <is>
          <t>P1</t>
        </is>
      </c>
      <c r="C19" s="3" t="inlineStr">
        <is>
          <t>STOCKOUT_RISK</t>
        </is>
      </c>
      <c r="D19" s="3" t="inlineStr">
        <is>
          <t>IN-STO-036</t>
        </is>
      </c>
      <c r="E19" s="3" t="inlineStr">
        <is>
          <t>IN-STO-036</t>
        </is>
      </c>
      <c r="F19" s="3" t="n"/>
      <c r="G19" s="3" t="inlineStr">
        <is>
          <t>Projected stockout in week 2 of 8 (lead time 14 d, cover 12.0 d)</t>
        </is>
      </c>
      <c r="H19" s="3" t="inlineStr">
        <is>
          <t>Supply Planner, India</t>
        </is>
      </c>
    </row>
    <row r="20">
      <c r="A20" s="3" t="inlineStr">
        <is>
          <t>India</t>
        </is>
      </c>
      <c r="B20" s="3" t="inlineStr">
        <is>
          <t>P1</t>
        </is>
      </c>
      <c r="C20" s="3" t="inlineStr">
        <is>
          <t>STOCKOUT_RISK</t>
        </is>
      </c>
      <c r="D20" s="3" t="inlineStr">
        <is>
          <t>IN-STO-004</t>
        </is>
      </c>
      <c r="E20" s="3" t="inlineStr">
        <is>
          <t>IN-STO-004</t>
        </is>
      </c>
      <c r="F20" s="3" t="n"/>
      <c r="G20" s="3" t="inlineStr">
        <is>
          <t>Projected stockout in week 2 of 8 (lead time 16 d, cover 10.0 d)</t>
        </is>
      </c>
      <c r="H20" s="3" t="inlineStr">
        <is>
          <t>Supply Planner, India</t>
        </is>
      </c>
    </row>
    <row r="21">
      <c r="A21" s="3" t="inlineStr">
        <is>
          <t>India</t>
        </is>
      </c>
      <c r="B21" s="3" t="inlineStr">
        <is>
          <t>P1</t>
        </is>
      </c>
      <c r="C21" s="3" t="inlineStr">
        <is>
          <t>STOCKOUT_RISK</t>
        </is>
      </c>
      <c r="D21" s="3" t="inlineStr">
        <is>
          <t>IN-ACC-038</t>
        </is>
      </c>
      <c r="E21" s="3" t="inlineStr">
        <is>
          <t>IN-ACC-038</t>
        </is>
      </c>
      <c r="F21" s="3" t="n"/>
      <c r="G21" s="3" t="inlineStr">
        <is>
          <t>Projected stockout in week 4 of 8 (lead time 29 d, cover 26.0 d)</t>
        </is>
      </c>
      <c r="H21" s="3" t="inlineStr">
        <is>
          <t>Supply Planner, India</t>
        </is>
      </c>
    </row>
    <row r="22">
      <c r="A22" s="3" t="inlineStr">
        <is>
          <t>India</t>
        </is>
      </c>
      <c r="B22" s="3" t="inlineStr">
        <is>
          <t>P1</t>
        </is>
      </c>
      <c r="C22" s="3" t="inlineStr">
        <is>
          <t>STOCKOUT_RISK</t>
        </is>
      </c>
      <c r="D22" s="3" t="inlineStr">
        <is>
          <t>IN-NET-031</t>
        </is>
      </c>
      <c r="E22" s="3" t="inlineStr">
        <is>
          <t>IN-NET-031</t>
        </is>
      </c>
      <c r="F22" s="3" t="n"/>
      <c r="G22" s="3" t="inlineStr">
        <is>
          <t>Projected stockout in week 2 of 8 (lead time 29 d, cover 11.0 d)</t>
        </is>
      </c>
      <c r="H22" s="3" t="inlineStr">
        <is>
          <t>Supply Planner, India</t>
        </is>
      </c>
    </row>
    <row r="23">
      <c r="A23" s="3" t="inlineStr">
        <is>
          <t>MENA-PAK</t>
        </is>
      </c>
      <c r="B23" s="3" t="inlineStr">
        <is>
          <t>P1</t>
        </is>
      </c>
      <c r="C23" s="3" t="inlineStr">
        <is>
          <t>DATA_QUALITY</t>
        </is>
      </c>
      <c r="D23" s="3" t="inlineStr">
        <is>
          <t>INV_NEG_ONHAND</t>
        </is>
      </c>
      <c r="E23" s="3" t="n"/>
      <c r="F23" s="3" t="n"/>
      <c r="G23" s="3" t="inlineStr">
        <is>
          <t>Negative on-hand quantity in inventory extract: 2 row(s)</t>
        </is>
      </c>
      <c r="H23" s="3" t="inlineStr">
        <is>
          <t>Data Steward, MENA-PAK</t>
        </is>
      </c>
    </row>
    <row r="24">
      <c r="A24" s="3" t="inlineStr">
        <is>
          <t>MENA-PAK</t>
        </is>
      </c>
      <c r="B24" s="3" t="inlineStr">
        <is>
          <t>P1</t>
        </is>
      </c>
      <c r="C24" s="3" t="inlineStr">
        <is>
          <t>DATA_QUALITY</t>
        </is>
      </c>
      <c r="D24" s="3" t="inlineStr">
        <is>
          <t>PO_ORPHAN</t>
        </is>
      </c>
      <c r="E24" s="3" t="n"/>
      <c r="F24" s="3" t="n"/>
      <c r="G24" s="3" t="inlineStr">
        <is>
          <t>PO references a SKU that is not in the inventory master: 2 row(s)</t>
        </is>
      </c>
      <c r="H24" s="3" t="inlineStr">
        <is>
          <t>Data Steward, MENA-PAK</t>
        </is>
      </c>
    </row>
    <row r="25">
      <c r="A25" s="3" t="inlineStr">
        <is>
          <t>MENA-PAK</t>
        </is>
      </c>
      <c r="B25" s="3" t="inlineStr">
        <is>
          <t>P1</t>
        </is>
      </c>
      <c r="C25" s="3" t="inlineStr">
        <is>
          <t>STOCKOUT_RISK</t>
        </is>
      </c>
      <c r="D25" s="3" t="inlineStr">
        <is>
          <t>MP-STO-028</t>
        </is>
      </c>
      <c r="E25" s="3" t="inlineStr">
        <is>
          <t>MP-STO-028</t>
        </is>
      </c>
      <c r="F25" s="3" t="n"/>
      <c r="G25" s="3" t="inlineStr">
        <is>
          <t>Projected stockout in week 7 of 8 (lead time 50 d, cover 30.0 d)</t>
        </is>
      </c>
      <c r="H25" s="3" t="inlineStr">
        <is>
          <t>Supply Planner, MENA-PAK</t>
        </is>
      </c>
    </row>
    <row r="26">
      <c r="A26" s="3" t="inlineStr">
        <is>
          <t>MENA-PAK</t>
        </is>
      </c>
      <c r="B26" s="3" t="inlineStr">
        <is>
          <t>P1</t>
        </is>
      </c>
      <c r="C26" s="3" t="inlineStr">
        <is>
          <t>STOCKOUT_RISK</t>
        </is>
      </c>
      <c r="D26" s="3" t="inlineStr">
        <is>
          <t>MP-NET-015</t>
        </is>
      </c>
      <c r="E26" s="3" t="inlineStr">
        <is>
          <t>MP-NET-015</t>
        </is>
      </c>
      <c r="F26" s="3" t="n"/>
      <c r="G26" s="3" t="inlineStr">
        <is>
          <t>Projected stockout in week 7 of 8 (lead time 53 d, cover 20.0 d)</t>
        </is>
      </c>
      <c r="H26" s="3" t="inlineStr">
        <is>
          <t>Supply Planner, MENA-PAK</t>
        </is>
      </c>
    </row>
    <row r="27">
      <c r="A27" s="3" t="inlineStr">
        <is>
          <t>South Africa</t>
        </is>
      </c>
      <c r="B27" s="3" t="inlineStr">
        <is>
          <t>P1</t>
        </is>
      </c>
      <c r="C27" s="3" t="inlineStr">
        <is>
          <t>DATA_QUALITY</t>
        </is>
      </c>
      <c r="D27" s="3" t="inlineStr">
        <is>
          <t>INV_NEG_ONHAND</t>
        </is>
      </c>
      <c r="E27" s="3" t="n"/>
      <c r="F27" s="3" t="n"/>
      <c r="G27" s="3" t="inlineStr">
        <is>
          <t>Negative on-hand quantity in inventory extract: 2 row(s)</t>
        </is>
      </c>
      <c r="H27" s="3" t="inlineStr">
        <is>
          <t>Data Steward, South Africa</t>
        </is>
      </c>
    </row>
    <row r="28">
      <c r="A28" s="3" t="inlineStr">
        <is>
          <t>South Africa</t>
        </is>
      </c>
      <c r="B28" s="3" t="inlineStr">
        <is>
          <t>P1</t>
        </is>
      </c>
      <c r="C28" s="3" t="inlineStr">
        <is>
          <t>DATA_QUALITY</t>
        </is>
      </c>
      <c r="D28" s="3" t="inlineStr">
        <is>
          <t>PO_ORPHAN</t>
        </is>
      </c>
      <c r="E28" s="3" t="n"/>
      <c r="F28" s="3" t="n"/>
      <c r="G28" s="3" t="inlineStr">
        <is>
          <t>PO references a SKU that is not in the inventory master: 2 row(s)</t>
        </is>
      </c>
      <c r="H28" s="3" t="inlineStr">
        <is>
          <t>Data Steward, South Africa</t>
        </is>
      </c>
    </row>
    <row r="29">
      <c r="A29" s="3" t="inlineStr">
        <is>
          <t>South Africa</t>
        </is>
      </c>
      <c r="B29" s="3" t="inlineStr">
        <is>
          <t>P1</t>
        </is>
      </c>
      <c r="C29" s="3" t="inlineStr">
        <is>
          <t>STOCKOUT_RISK</t>
        </is>
      </c>
      <c r="D29" s="3" t="inlineStr">
        <is>
          <t>ZA-DEV-013</t>
        </is>
      </c>
      <c r="E29" s="3" t="inlineStr">
        <is>
          <t>ZA-DEV-013</t>
        </is>
      </c>
      <c r="F29" s="3" t="n"/>
      <c r="G29" s="3" t="inlineStr">
        <is>
          <t>Projected stockout in week 2 of 8 (lead time 31 d, cover 9.0 d)</t>
        </is>
      </c>
      <c r="H29" s="3" t="inlineStr">
        <is>
          <t>Supply Planner, South Africa</t>
        </is>
      </c>
    </row>
    <row r="30">
      <c r="A30" s="3" t="inlineStr">
        <is>
          <t>South Africa</t>
        </is>
      </c>
      <c r="B30" s="3" t="inlineStr">
        <is>
          <t>P1</t>
        </is>
      </c>
      <c r="C30" s="3" t="inlineStr">
        <is>
          <t>STOCKOUT_RISK</t>
        </is>
      </c>
      <c r="D30" s="3" t="inlineStr">
        <is>
          <t>ZA-STO-016</t>
        </is>
      </c>
      <c r="E30" s="3" t="inlineStr">
        <is>
          <t>ZA-STO-016</t>
        </is>
      </c>
      <c r="F30" s="3" t="n"/>
      <c r="G30" s="3" t="inlineStr">
        <is>
          <t>Projected stockout in week 6 of 8 (lead time 36 d, cover 8.0 d)</t>
        </is>
      </c>
      <c r="H30" s="3" t="inlineStr">
        <is>
          <t>Supply Planner, South Africa</t>
        </is>
      </c>
    </row>
    <row r="31">
      <c r="A31" s="3" t="inlineStr">
        <is>
          <t>APAC</t>
        </is>
      </c>
      <c r="B31" s="3" t="inlineStr">
        <is>
          <t>P2</t>
        </is>
      </c>
      <c r="C31" s="3" t="inlineStr">
        <is>
          <t>DATA_QUALITY</t>
        </is>
      </c>
      <c r="D31" s="3" t="inlineStr">
        <is>
          <t>PO_DATE_ORDER</t>
        </is>
      </c>
      <c r="E31" s="3" t="n"/>
      <c r="F31" s="3" t="n"/>
      <c r="G31" s="3" t="inlineStr">
        <is>
          <t>PO promised date earlier than order date: 2 row(s)</t>
        </is>
      </c>
      <c r="H31" s="3" t="inlineStr">
        <is>
          <t>Data Steward, APAC</t>
        </is>
      </c>
    </row>
    <row r="32">
      <c r="A32" s="3" t="inlineStr">
        <is>
          <t>APAC</t>
        </is>
      </c>
      <c r="B32" s="3" t="inlineStr">
        <is>
          <t>P2</t>
        </is>
      </c>
      <c r="C32" s="3" t="inlineStr">
        <is>
          <t>DATA_QUALITY</t>
        </is>
      </c>
      <c r="D32" s="3" t="inlineStr">
        <is>
          <t>INV_NULL_SS</t>
        </is>
      </c>
      <c r="E32" s="3" t="n"/>
      <c r="F32" s="3" t="n"/>
      <c r="G32" s="3" t="inlineStr">
        <is>
          <t>Missing safety stock value: 2 row(s)</t>
        </is>
      </c>
      <c r="H32" s="3" t="inlineStr">
        <is>
          <t>Data Steward, APAC</t>
        </is>
      </c>
    </row>
    <row r="33">
      <c r="A33" s="3" t="inlineStr">
        <is>
          <t>APAC</t>
        </is>
      </c>
      <c r="B33" s="3" t="inlineStr">
        <is>
          <t>P2</t>
        </is>
      </c>
      <c r="C33" s="3" t="inlineStr">
        <is>
          <t>DATA_QUALITY</t>
        </is>
      </c>
      <c r="D33" s="3" t="inlineStr">
        <is>
          <t>INV_DUP</t>
        </is>
      </c>
      <c r="E33" s="3" t="n"/>
      <c r="F33" s="3" t="n"/>
      <c r="G33" s="3" t="inlineStr">
        <is>
          <t>Duplicate (market, sku) rows in inventory extract: 2 row(s)</t>
        </is>
      </c>
      <c r="H33" s="3" t="inlineStr">
        <is>
          <t>Data Steward, APAC</t>
        </is>
      </c>
    </row>
    <row r="34">
      <c r="A34" s="3" t="inlineStr">
        <is>
          <t>APAC</t>
        </is>
      </c>
      <c r="B34" s="3" t="inlineStr">
        <is>
          <t>P2</t>
        </is>
      </c>
      <c r="C34" s="3" t="inlineStr">
        <is>
          <t>DATA_QUALITY</t>
        </is>
      </c>
      <c r="D34" s="3" t="inlineStr">
        <is>
          <t>FC_NULL</t>
        </is>
      </c>
      <c r="E34" s="3" t="n"/>
      <c r="F34" s="3" t="n"/>
      <c r="G34" s="3" t="inlineStr">
        <is>
          <t>Forecast row with missing quantity: 3 row(s)</t>
        </is>
      </c>
      <c r="H34" s="3" t="inlineStr">
        <is>
          <t>Data Steward, APAC</t>
        </is>
      </c>
    </row>
    <row r="35">
      <c r="A35" s="3" t="inlineStr">
        <is>
          <t>APAC</t>
        </is>
      </c>
      <c r="B35" s="3" t="inlineStr">
        <is>
          <t>P2</t>
        </is>
      </c>
      <c r="C35" s="3" t="inlineStr">
        <is>
          <t>FORECAST_BIAS</t>
        </is>
      </c>
      <c r="D35" s="3" t="inlineStr">
        <is>
          <t>AP-DEV-005</t>
        </is>
      </c>
      <c r="E35" s="3" t="inlineStr">
        <is>
          <t>AP-DEV-005</t>
        </is>
      </c>
      <c r="F35" s="3" t="n"/>
      <c r="G35" s="3" t="inlineStr">
        <is>
          <t>Bias -26.0% over last 8 weeks (WAPE 29.0%)</t>
        </is>
      </c>
      <c r="H35" s="3" t="inlineStr">
        <is>
          <t>Demand Planner, APAC</t>
        </is>
      </c>
    </row>
    <row r="36">
      <c r="A36" s="3" t="inlineStr">
        <is>
          <t>APAC</t>
        </is>
      </c>
      <c r="B36" s="3" t="inlineStr">
        <is>
          <t>P2</t>
        </is>
      </c>
      <c r="C36" s="3" t="inlineStr">
        <is>
          <t>FORECAST_BIAS</t>
        </is>
      </c>
      <c r="D36" s="3" t="inlineStr">
        <is>
          <t>AP-ACC-022</t>
        </is>
      </c>
      <c r="E36" s="3" t="inlineStr">
        <is>
          <t>AP-ACC-022</t>
        </is>
      </c>
      <c r="F36" s="3" t="n"/>
      <c r="G36" s="3" t="inlineStr">
        <is>
          <t>Bias 39.0% over last 8 weeks (WAPE 39.0%)</t>
        </is>
      </c>
      <c r="H36" s="3" t="inlineStr">
        <is>
          <t>Demand Planner, APAC</t>
        </is>
      </c>
    </row>
    <row r="37">
      <c r="A37" s="3" t="inlineStr">
        <is>
          <t>APAC</t>
        </is>
      </c>
      <c r="B37" s="3" t="inlineStr">
        <is>
          <t>P2</t>
        </is>
      </c>
      <c r="C37" s="3" t="inlineStr">
        <is>
          <t>FORECAST_BIAS</t>
        </is>
      </c>
      <c r="D37" s="3" t="inlineStr">
        <is>
          <t>AP-NET-023</t>
        </is>
      </c>
      <c r="E37" s="3" t="inlineStr">
        <is>
          <t>AP-NET-023</t>
        </is>
      </c>
      <c r="F37" s="3" t="n"/>
      <c r="G37" s="3" t="inlineStr">
        <is>
          <t>Bias -32.0% over last 8 weeks (WAPE 32.0%)</t>
        </is>
      </c>
      <c r="H37" s="3" t="inlineStr">
        <is>
          <t>Demand Planner, APAC</t>
        </is>
      </c>
    </row>
    <row r="38">
      <c r="A38" s="3" t="inlineStr">
        <is>
          <t>APAC</t>
        </is>
      </c>
      <c r="B38" s="3" t="inlineStr">
        <is>
          <t>P2</t>
        </is>
      </c>
      <c r="C38" s="3" t="inlineStr">
        <is>
          <t>LATE_PO</t>
        </is>
      </c>
      <c r="D38" s="3" t="inlineStr">
        <is>
          <t>PO000070</t>
        </is>
      </c>
      <c r="E38" s="3" t="inlineStr">
        <is>
          <t>AP-STO-012</t>
        </is>
      </c>
      <c r="F38" s="3" t="inlineStr">
        <is>
          <t>SUP-AP-06</t>
        </is>
      </c>
      <c r="G38" s="3" t="inlineStr">
        <is>
          <t>PO PO000070 is 5 days past promised date, open qty 732</t>
        </is>
      </c>
      <c r="H38" s="3" t="inlineStr">
        <is>
          <t>Procurement Lead, APAC</t>
        </is>
      </c>
    </row>
    <row r="39">
      <c r="A39" s="3" t="inlineStr">
        <is>
          <t>APAC</t>
        </is>
      </c>
      <c r="B39" s="3" t="inlineStr">
        <is>
          <t>P2</t>
        </is>
      </c>
      <c r="C39" s="3" t="inlineStr">
        <is>
          <t>LATE_PO</t>
        </is>
      </c>
      <c r="D39" s="3" t="inlineStr">
        <is>
          <t>PO000160</t>
        </is>
      </c>
      <c r="E39" s="3" t="inlineStr">
        <is>
          <t>AP-DEV-029</t>
        </is>
      </c>
      <c r="F39" s="3" t="inlineStr">
        <is>
          <t>SUP-AP-02</t>
        </is>
      </c>
      <c r="G39" s="3" t="inlineStr">
        <is>
          <t>PO PO000160 is 5 days past promised date, open qty 691</t>
        </is>
      </c>
      <c r="H39" s="3" t="inlineStr">
        <is>
          <t>Procurement Lead, APAC</t>
        </is>
      </c>
    </row>
    <row r="40">
      <c r="A40" s="3" t="inlineStr">
        <is>
          <t>APAC</t>
        </is>
      </c>
      <c r="B40" s="3" t="inlineStr">
        <is>
          <t>P2</t>
        </is>
      </c>
      <c r="C40" s="3" t="inlineStr">
        <is>
          <t>LATE_PO</t>
        </is>
      </c>
      <c r="D40" s="3" t="inlineStr">
        <is>
          <t>PO000036</t>
        </is>
      </c>
      <c r="E40" s="3" t="inlineStr">
        <is>
          <t>AP-ACC-006</t>
        </is>
      </c>
      <c r="F40" s="3" t="inlineStr">
        <is>
          <t>SUP-AP-01</t>
        </is>
      </c>
      <c r="G40" s="3" t="inlineStr">
        <is>
          <t>PO PO000036 is 10 days past promised date, open qty 136</t>
        </is>
      </c>
      <c r="H40" s="3" t="inlineStr">
        <is>
          <t>Procurement Lead, APAC</t>
        </is>
      </c>
    </row>
    <row r="41">
      <c r="A41" s="3" t="inlineStr">
        <is>
          <t>APAC</t>
        </is>
      </c>
      <c r="B41" s="3" t="inlineStr">
        <is>
          <t>P2</t>
        </is>
      </c>
      <c r="C41" s="3" t="inlineStr">
        <is>
          <t>LATE_PO</t>
        </is>
      </c>
      <c r="D41" s="3" t="inlineStr">
        <is>
          <t>PO000063</t>
        </is>
      </c>
      <c r="E41" s="3" t="inlineStr">
        <is>
          <t>AP-NET-011</t>
        </is>
      </c>
      <c r="F41" s="3" t="inlineStr">
        <is>
          <t>SUP-AP-02</t>
        </is>
      </c>
      <c r="G41" s="3" t="inlineStr">
        <is>
          <t>PO PO000063 is 11 days past promised date, open qty 478</t>
        </is>
      </c>
      <c r="H41" s="3" t="inlineStr">
        <is>
          <t>Procurement Lead, APAC</t>
        </is>
      </c>
    </row>
    <row r="42">
      <c r="A42" s="3" t="inlineStr">
        <is>
          <t>APAC</t>
        </is>
      </c>
      <c r="B42" s="3" t="inlineStr">
        <is>
          <t>P2</t>
        </is>
      </c>
      <c r="C42" s="3" t="inlineStr">
        <is>
          <t>STOCKOUT_RISK</t>
        </is>
      </c>
      <c r="D42" s="3" t="inlineStr">
        <is>
          <t>AP-NET-003</t>
        </is>
      </c>
      <c r="E42" s="3" t="inlineStr">
        <is>
          <t>AP-NET-003</t>
        </is>
      </c>
      <c r="F42" s="3" t="n"/>
      <c r="G42" s="3" t="inlineStr">
        <is>
          <t>Projected stockout in week 5 of 8 (lead time 21 d, cover 16.0 d)</t>
        </is>
      </c>
      <c r="H42" s="3" t="inlineStr">
        <is>
          <t>Supply Planner, APAC</t>
        </is>
      </c>
    </row>
    <row r="43">
      <c r="A43" s="3" t="inlineStr">
        <is>
          <t>APAC</t>
        </is>
      </c>
      <c r="B43" s="3" t="inlineStr">
        <is>
          <t>P2</t>
        </is>
      </c>
      <c r="C43" s="3" t="inlineStr">
        <is>
          <t>STOCKOUT_RISK</t>
        </is>
      </c>
      <c r="D43" s="3" t="inlineStr">
        <is>
          <t>AP-DEV-013</t>
        </is>
      </c>
      <c r="E43" s="3" t="inlineStr">
        <is>
          <t>AP-DEV-013</t>
        </is>
      </c>
      <c r="F43" s="3" t="n"/>
      <c r="G43" s="3" t="inlineStr">
        <is>
          <t>Projected stockout in week 4 of 8 (lead time 15 d, cover 18.0 d)</t>
        </is>
      </c>
      <c r="H43" s="3" t="inlineStr">
        <is>
          <t>Supply Planner, APAC</t>
        </is>
      </c>
    </row>
    <row r="44">
      <c r="A44" s="3" t="inlineStr">
        <is>
          <t>APAC</t>
        </is>
      </c>
      <c r="B44" s="3" t="inlineStr">
        <is>
          <t>P2</t>
        </is>
      </c>
      <c r="C44" s="3" t="inlineStr">
        <is>
          <t>STOCKOUT_RISK</t>
        </is>
      </c>
      <c r="D44" s="3" t="inlineStr">
        <is>
          <t>AP-ACC-042</t>
        </is>
      </c>
      <c r="E44" s="3" t="inlineStr">
        <is>
          <t>AP-ACC-042</t>
        </is>
      </c>
      <c r="F44" s="3" t="n"/>
      <c r="G44" s="3" t="inlineStr">
        <is>
          <t>Projected stockout in week 6 of 8 (lead time 24 d, cover 22.0 d)</t>
        </is>
      </c>
      <c r="H44" s="3" t="inlineStr">
        <is>
          <t>Supply Planner, APAC</t>
        </is>
      </c>
    </row>
    <row r="45">
      <c r="A45" s="3" t="inlineStr">
        <is>
          <t>APAC</t>
        </is>
      </c>
      <c r="B45" s="3" t="inlineStr">
        <is>
          <t>P2</t>
        </is>
      </c>
      <c r="C45" s="3" t="inlineStr">
        <is>
          <t>STOCKOUT_RISK</t>
        </is>
      </c>
      <c r="D45" s="3" t="inlineStr">
        <is>
          <t>AP-STO-044</t>
        </is>
      </c>
      <c r="E45" s="3" t="inlineStr">
        <is>
          <t>AP-STO-044</t>
        </is>
      </c>
      <c r="F45" s="3" t="n"/>
      <c r="G45" s="3" t="inlineStr">
        <is>
          <t>Projected stockout in week 5 of 8 (lead time 16 d, cover 4.0 d)</t>
        </is>
      </c>
      <c r="H45" s="3" t="inlineStr">
        <is>
          <t>Supply Planner, APAC</t>
        </is>
      </c>
    </row>
    <row r="46">
      <c r="A46" s="3" t="inlineStr">
        <is>
          <t>APAC</t>
        </is>
      </c>
      <c r="B46" s="3" t="inlineStr">
        <is>
          <t>P2</t>
        </is>
      </c>
      <c r="C46" s="3" t="inlineStr">
        <is>
          <t>STOCKOUT_RISK</t>
        </is>
      </c>
      <c r="D46" s="3" t="inlineStr">
        <is>
          <t>AP-DEV-037</t>
        </is>
      </c>
      <c r="E46" s="3" t="inlineStr">
        <is>
          <t>AP-DEV-037</t>
        </is>
      </c>
      <c r="F46" s="3" t="n"/>
      <c r="G46" s="3" t="inlineStr">
        <is>
          <t>Projected stockout in week 5 of 8 (lead time 20 d, cover 17.0 d)</t>
        </is>
      </c>
      <c r="H46" s="3" t="inlineStr">
        <is>
          <t>Supply Planner, APAC</t>
        </is>
      </c>
    </row>
    <row r="47">
      <c r="A47" s="3" t="inlineStr">
        <is>
          <t>APAC</t>
        </is>
      </c>
      <c r="B47" s="3" t="inlineStr">
        <is>
          <t>P2</t>
        </is>
      </c>
      <c r="C47" s="3" t="inlineStr">
        <is>
          <t>STOCKOUT_RISK</t>
        </is>
      </c>
      <c r="D47" s="3" t="inlineStr">
        <is>
          <t>AP-ACC-030</t>
        </is>
      </c>
      <c r="E47" s="3" t="inlineStr">
        <is>
          <t>AP-ACC-030</t>
        </is>
      </c>
      <c r="F47" s="3" t="n"/>
      <c r="G47" s="3" t="inlineStr">
        <is>
          <t>Projected stockout in week 6 of 8 (lead time 32 d, cover 35.0 d)</t>
        </is>
      </c>
      <c r="H47" s="3" t="inlineStr">
        <is>
          <t>Supply Planner, APAC</t>
        </is>
      </c>
    </row>
    <row r="48">
      <c r="A48" s="3" t="inlineStr">
        <is>
          <t>India</t>
        </is>
      </c>
      <c r="B48" s="3" t="inlineStr">
        <is>
          <t>P2</t>
        </is>
      </c>
      <c r="C48" s="3" t="inlineStr">
        <is>
          <t>DATA_QUALITY</t>
        </is>
      </c>
      <c r="D48" s="3" t="inlineStr">
        <is>
          <t>INV_NULL_SS</t>
        </is>
      </c>
      <c r="E48" s="3" t="n"/>
      <c r="F48" s="3" t="n"/>
      <c r="G48" s="3" t="inlineStr">
        <is>
          <t>Missing safety stock value: 2 row(s)</t>
        </is>
      </c>
      <c r="H48" s="3" t="inlineStr">
        <is>
          <t>Data Steward, India</t>
        </is>
      </c>
    </row>
    <row r="49">
      <c r="A49" s="3" t="inlineStr">
        <is>
          <t>India</t>
        </is>
      </c>
      <c r="B49" s="3" t="inlineStr">
        <is>
          <t>P2</t>
        </is>
      </c>
      <c r="C49" s="3" t="inlineStr">
        <is>
          <t>DATA_QUALITY</t>
        </is>
      </c>
      <c r="D49" s="3" t="inlineStr">
        <is>
          <t>INV_DUP</t>
        </is>
      </c>
      <c r="E49" s="3" t="n"/>
      <c r="F49" s="3" t="n"/>
      <c r="G49" s="3" t="inlineStr">
        <is>
          <t>Duplicate (market, sku) rows in inventory extract: 2 row(s)</t>
        </is>
      </c>
      <c r="H49" s="3" t="inlineStr">
        <is>
          <t>Data Steward, India</t>
        </is>
      </c>
    </row>
    <row r="50">
      <c r="A50" s="3" t="inlineStr">
        <is>
          <t>India</t>
        </is>
      </c>
      <c r="B50" s="3" t="inlineStr">
        <is>
          <t>P2</t>
        </is>
      </c>
      <c r="C50" s="3" t="inlineStr">
        <is>
          <t>DATA_QUALITY</t>
        </is>
      </c>
      <c r="D50" s="3" t="inlineStr">
        <is>
          <t>FC_NULL</t>
        </is>
      </c>
      <c r="E50" s="3" t="n"/>
      <c r="F50" s="3" t="n"/>
      <c r="G50" s="3" t="inlineStr">
        <is>
          <t>Forecast row with missing quantity: 3 row(s)</t>
        </is>
      </c>
      <c r="H50" s="3" t="inlineStr">
        <is>
          <t>Data Steward, India</t>
        </is>
      </c>
    </row>
    <row r="51">
      <c r="A51" s="3" t="inlineStr">
        <is>
          <t>India</t>
        </is>
      </c>
      <c r="B51" s="3" t="inlineStr">
        <is>
          <t>P2</t>
        </is>
      </c>
      <c r="C51" s="3" t="inlineStr">
        <is>
          <t>DATA_QUALITY</t>
        </is>
      </c>
      <c r="D51" s="3" t="inlineStr">
        <is>
          <t>PO_DATE_ORDER</t>
        </is>
      </c>
      <c r="E51" s="3" t="n"/>
      <c r="F51" s="3" t="n"/>
      <c r="G51" s="3" t="inlineStr">
        <is>
          <t>PO promised date earlier than order date: 2 row(s)</t>
        </is>
      </c>
      <c r="H51" s="3" t="inlineStr">
        <is>
          <t>Data Steward, India</t>
        </is>
      </c>
    </row>
    <row r="52">
      <c r="A52" s="3" t="inlineStr">
        <is>
          <t>India</t>
        </is>
      </c>
      <c r="B52" s="3" t="inlineStr">
        <is>
          <t>P2</t>
        </is>
      </c>
      <c r="C52" s="3" t="inlineStr">
        <is>
          <t>FORECAST_BIAS</t>
        </is>
      </c>
      <c r="D52" s="3" t="inlineStr">
        <is>
          <t>IN-ACC-034</t>
        </is>
      </c>
      <c r="E52" s="3" t="inlineStr">
        <is>
          <t>IN-ACC-034</t>
        </is>
      </c>
      <c r="F52" s="3" t="n"/>
      <c r="G52" s="3" t="inlineStr">
        <is>
          <t>Bias 32.0% over last 8 weeks (WAPE 32.0%)</t>
        </is>
      </c>
      <c r="H52" s="3" t="inlineStr">
        <is>
          <t>Demand Planner, India</t>
        </is>
      </c>
    </row>
    <row r="53">
      <c r="A53" s="3" t="inlineStr">
        <is>
          <t>India</t>
        </is>
      </c>
      <c r="B53" s="3" t="inlineStr">
        <is>
          <t>P2</t>
        </is>
      </c>
      <c r="C53" s="3" t="inlineStr">
        <is>
          <t>FORECAST_BIAS</t>
        </is>
      </c>
      <c r="D53" s="3" t="inlineStr">
        <is>
          <t>IN-DEV-005</t>
        </is>
      </c>
      <c r="E53" s="3" t="inlineStr">
        <is>
          <t>IN-DEV-005</t>
        </is>
      </c>
      <c r="F53" s="3" t="n"/>
      <c r="G53" s="3" t="inlineStr">
        <is>
          <t>Bias 29.0% over last 8 weeks (WAPE 29.0%)</t>
        </is>
      </c>
      <c r="H53" s="3" t="inlineStr">
        <is>
          <t>Demand Planner, India</t>
        </is>
      </c>
    </row>
    <row r="54">
      <c r="A54" s="3" t="inlineStr">
        <is>
          <t>India</t>
        </is>
      </c>
      <c r="B54" s="3" t="inlineStr">
        <is>
          <t>P2</t>
        </is>
      </c>
      <c r="C54" s="3" t="inlineStr">
        <is>
          <t>FORECAST_BIAS</t>
        </is>
      </c>
      <c r="D54" s="3" t="inlineStr">
        <is>
          <t>IN-NET-031</t>
        </is>
      </c>
      <c r="E54" s="3" t="inlineStr">
        <is>
          <t>IN-NET-031</t>
        </is>
      </c>
      <c r="F54" s="3" t="n"/>
      <c r="G54" s="3" t="inlineStr">
        <is>
          <t>Bias 44.0% over last 8 weeks (WAPE 44.0%)</t>
        </is>
      </c>
      <c r="H54" s="3" t="inlineStr">
        <is>
          <t>Demand Planner, India</t>
        </is>
      </c>
    </row>
    <row r="55">
      <c r="A55" s="3" t="inlineStr">
        <is>
          <t>India</t>
        </is>
      </c>
      <c r="B55" s="3" t="inlineStr">
        <is>
          <t>P2</t>
        </is>
      </c>
      <c r="C55" s="3" t="inlineStr">
        <is>
          <t>LATE_PO</t>
        </is>
      </c>
      <c r="D55" s="3" t="inlineStr">
        <is>
          <t>PO000138</t>
        </is>
      </c>
      <c r="E55" s="3" t="inlineStr">
        <is>
          <t>IN-STO-024</t>
        </is>
      </c>
      <c r="F55" s="3" t="inlineStr">
        <is>
          <t>SUP-IN-03</t>
        </is>
      </c>
      <c r="G55" s="3" t="inlineStr">
        <is>
          <t>PO PO000138 is 1 days past promised date, open qty 531</t>
        </is>
      </c>
      <c r="H55" s="3" t="inlineStr">
        <is>
          <t>Procurement Lead, India</t>
        </is>
      </c>
    </row>
    <row r="56">
      <c r="A56" s="3" t="inlineStr">
        <is>
          <t>India</t>
        </is>
      </c>
      <c r="B56" s="3" t="inlineStr">
        <is>
          <t>P2</t>
        </is>
      </c>
      <c r="C56" s="3" t="inlineStr">
        <is>
          <t>LATE_PO</t>
        </is>
      </c>
      <c r="D56" s="3" t="inlineStr">
        <is>
          <t>PO000180</t>
        </is>
      </c>
      <c r="E56" s="3" t="inlineStr">
        <is>
          <t>IN-STO-032</t>
        </is>
      </c>
      <c r="F56" s="3" t="inlineStr">
        <is>
          <t>SUP-IN-04</t>
        </is>
      </c>
      <c r="G56" s="3" t="inlineStr">
        <is>
          <t>PO PO000180 is 5 days past promised date, open qty 163</t>
        </is>
      </c>
      <c r="H56" s="3" t="inlineStr">
        <is>
          <t>Procurement Lead, India</t>
        </is>
      </c>
    </row>
    <row r="57">
      <c r="A57" s="3" t="inlineStr">
        <is>
          <t>India</t>
        </is>
      </c>
      <c r="B57" s="3" t="inlineStr">
        <is>
          <t>P2</t>
        </is>
      </c>
      <c r="C57" s="3" t="inlineStr">
        <is>
          <t>LATE_PO</t>
        </is>
      </c>
      <c r="D57" s="3" t="inlineStr">
        <is>
          <t>PO000192</t>
        </is>
      </c>
      <c r="E57" s="3" t="inlineStr">
        <is>
          <t>IN-ACC-034</t>
        </is>
      </c>
      <c r="F57" s="3" t="inlineStr">
        <is>
          <t>SUP-IN-03</t>
        </is>
      </c>
      <c r="G57" s="3" t="inlineStr">
        <is>
          <t>PO PO000192 is 7 days past promised date, open qty 293</t>
        </is>
      </c>
      <c r="H57" s="3" t="inlineStr">
        <is>
          <t>Procurement Lead, India</t>
        </is>
      </c>
    </row>
    <row r="58">
      <c r="A58" s="3" t="inlineStr">
        <is>
          <t>India</t>
        </is>
      </c>
      <c r="B58" s="3" t="inlineStr">
        <is>
          <t>P2</t>
        </is>
      </c>
      <c r="C58" s="3" t="inlineStr">
        <is>
          <t>LATE_PO</t>
        </is>
      </c>
      <c r="D58" s="3" t="inlineStr">
        <is>
          <t>PO000124</t>
        </is>
      </c>
      <c r="E58" s="3" t="inlineStr">
        <is>
          <t>IN-DEV-021</t>
        </is>
      </c>
      <c r="F58" s="3" t="inlineStr">
        <is>
          <t>SUP-IN-04</t>
        </is>
      </c>
      <c r="G58" s="3" t="inlineStr">
        <is>
          <t>PO PO000124 is 8 days past promised date, open qty 472</t>
        </is>
      </c>
      <c r="H58" s="3" t="inlineStr">
        <is>
          <t>Procurement Lead, India</t>
        </is>
      </c>
    </row>
    <row r="59">
      <c r="A59" s="3" t="inlineStr">
        <is>
          <t>India</t>
        </is>
      </c>
      <c r="B59" s="3" t="inlineStr">
        <is>
          <t>P2</t>
        </is>
      </c>
      <c r="C59" s="3" t="inlineStr">
        <is>
          <t>LATE_PO</t>
        </is>
      </c>
      <c r="D59" s="3" t="inlineStr">
        <is>
          <t>PO000223</t>
        </is>
      </c>
      <c r="E59" s="3" t="inlineStr">
        <is>
          <t>IN-STO-040</t>
        </is>
      </c>
      <c r="F59" s="3" t="inlineStr">
        <is>
          <t>SUP-IN-01</t>
        </is>
      </c>
      <c r="G59" s="3" t="inlineStr">
        <is>
          <t>PO PO000223 is 8 days past promised date, open qty 145</t>
        </is>
      </c>
      <c r="H59" s="3" t="inlineStr">
        <is>
          <t>Procurement Lead, India</t>
        </is>
      </c>
    </row>
    <row r="60">
      <c r="A60" s="3" t="inlineStr">
        <is>
          <t>India</t>
        </is>
      </c>
      <c r="B60" s="3" t="inlineStr">
        <is>
          <t>P2</t>
        </is>
      </c>
      <c r="C60" s="3" t="inlineStr">
        <is>
          <t>LATE_PO</t>
        </is>
      </c>
      <c r="D60" s="3" t="inlineStr">
        <is>
          <t>PO000069</t>
        </is>
      </c>
      <c r="E60" s="3" t="inlineStr">
        <is>
          <t>IN-NET-011</t>
        </is>
      </c>
      <c r="F60" s="3" t="inlineStr">
        <is>
          <t>SUP-IN-05</t>
        </is>
      </c>
      <c r="G60" s="3" t="inlineStr">
        <is>
          <t>PO PO000069 is 8 days past promised date, open qty 371</t>
        </is>
      </c>
      <c r="H60" s="3" t="inlineStr">
        <is>
          <t>Procurement Lead, India</t>
        </is>
      </c>
    </row>
    <row r="61">
      <c r="A61" s="3" t="inlineStr">
        <is>
          <t>India</t>
        </is>
      </c>
      <c r="B61" s="3" t="inlineStr">
        <is>
          <t>P2</t>
        </is>
      </c>
      <c r="C61" s="3" t="inlineStr">
        <is>
          <t>LATE_PO</t>
        </is>
      </c>
      <c r="D61" s="3" t="inlineStr">
        <is>
          <t>PO000167</t>
        </is>
      </c>
      <c r="E61" s="3" t="inlineStr">
        <is>
          <t>IN-ACC-030</t>
        </is>
      </c>
      <c r="F61" s="3" t="inlineStr">
        <is>
          <t>SUP-IN-03</t>
        </is>
      </c>
      <c r="G61" s="3" t="inlineStr">
        <is>
          <t>PO PO000167 is 9 days past promised date, open qty 121</t>
        </is>
      </c>
      <c r="H61" s="3" t="inlineStr">
        <is>
          <t>Procurement Lead, India</t>
        </is>
      </c>
    </row>
    <row r="62">
      <c r="A62" s="3" t="inlineStr">
        <is>
          <t>India</t>
        </is>
      </c>
      <c r="B62" s="3" t="inlineStr">
        <is>
          <t>P2</t>
        </is>
      </c>
      <c r="C62" s="3" t="inlineStr">
        <is>
          <t>LATE_PO</t>
        </is>
      </c>
      <c r="D62" s="3" t="inlineStr">
        <is>
          <t>PO000056</t>
        </is>
      </c>
      <c r="E62" s="3" t="inlineStr">
        <is>
          <t>IN-DEV-009</t>
        </is>
      </c>
      <c r="F62" s="3" t="inlineStr">
        <is>
          <t>SUP-IN-03</t>
        </is>
      </c>
      <c r="G62" s="3" t="inlineStr">
        <is>
          <t>PO PO000056 is 7 days past promised date, open qty 1443</t>
        </is>
      </c>
      <c r="H62" s="3" t="inlineStr">
        <is>
          <t>Procurement Lead, India</t>
        </is>
      </c>
    </row>
    <row r="63">
      <c r="A63" s="3" t="inlineStr">
        <is>
          <t>India</t>
        </is>
      </c>
      <c r="B63" s="3" t="inlineStr">
        <is>
          <t>P2</t>
        </is>
      </c>
      <c r="C63" s="3" t="inlineStr">
        <is>
          <t>LATE_PO</t>
        </is>
      </c>
      <c r="D63" s="3" t="inlineStr">
        <is>
          <t>PO000125</t>
        </is>
      </c>
      <c r="E63" s="3" t="inlineStr">
        <is>
          <t>IN-DEV-021</t>
        </is>
      </c>
      <c r="F63" s="3" t="inlineStr">
        <is>
          <t>SUP-IN-03</t>
        </is>
      </c>
      <c r="G63" s="3" t="inlineStr">
        <is>
          <t>PO PO000125 is 10 days past promised date, open qty 270</t>
        </is>
      </c>
      <c r="H63" s="3" t="inlineStr">
        <is>
          <t>Procurement Lead, India</t>
        </is>
      </c>
    </row>
    <row r="64">
      <c r="A64" s="3" t="inlineStr">
        <is>
          <t>India</t>
        </is>
      </c>
      <c r="B64" s="3" t="inlineStr">
        <is>
          <t>P2</t>
        </is>
      </c>
      <c r="C64" s="3" t="inlineStr">
        <is>
          <t>LATE_PO</t>
        </is>
      </c>
      <c r="D64" s="3" t="inlineStr">
        <is>
          <t>PO000154</t>
        </is>
      </c>
      <c r="E64" s="3" t="inlineStr">
        <is>
          <t>IN-STO-028</t>
        </is>
      </c>
      <c r="F64" s="3" t="inlineStr">
        <is>
          <t>SUP-IN-02</t>
        </is>
      </c>
      <c r="G64" s="3" t="inlineStr">
        <is>
          <t>PO PO000154 is 10 days past promised date, open qty 77</t>
        </is>
      </c>
      <c r="H64" s="3" t="inlineStr">
        <is>
          <t>Procurement Lead, India</t>
        </is>
      </c>
    </row>
    <row r="65">
      <c r="A65" s="3" t="inlineStr">
        <is>
          <t>India</t>
        </is>
      </c>
      <c r="B65" s="3" t="inlineStr">
        <is>
          <t>P2</t>
        </is>
      </c>
      <c r="C65" s="3" t="inlineStr">
        <is>
          <t>STOCKOUT_RISK</t>
        </is>
      </c>
      <c r="D65" s="3" t="inlineStr">
        <is>
          <t>IN-DEV-013</t>
        </is>
      </c>
      <c r="E65" s="3" t="inlineStr">
        <is>
          <t>IN-DEV-013</t>
        </is>
      </c>
      <c r="F65" s="3" t="n"/>
      <c r="G65" s="3" t="inlineStr">
        <is>
          <t>Projected stockout in week 5 of 8 (lead time 19 d, cover 21.0 d)</t>
        </is>
      </c>
      <c r="H65" s="3" t="inlineStr">
        <is>
          <t>Supply Planner, India</t>
        </is>
      </c>
    </row>
    <row r="66">
      <c r="A66" s="3" t="inlineStr">
        <is>
          <t>MENA-PAK</t>
        </is>
      </c>
      <c r="B66" s="3" t="inlineStr">
        <is>
          <t>P2</t>
        </is>
      </c>
      <c r="C66" s="3" t="inlineStr">
        <is>
          <t>DATA_QUALITY</t>
        </is>
      </c>
      <c r="D66" s="3" t="inlineStr">
        <is>
          <t>FC_NULL</t>
        </is>
      </c>
      <c r="E66" s="3" t="n"/>
      <c r="F66" s="3" t="n"/>
      <c r="G66" s="3" t="inlineStr">
        <is>
          <t>Forecast row with missing quantity: 3 row(s)</t>
        </is>
      </c>
      <c r="H66" s="3" t="inlineStr">
        <is>
          <t>Data Steward, MENA-PAK</t>
        </is>
      </c>
    </row>
    <row r="67">
      <c r="A67" s="3" t="inlineStr">
        <is>
          <t>MENA-PAK</t>
        </is>
      </c>
      <c r="B67" s="3" t="inlineStr">
        <is>
          <t>P2</t>
        </is>
      </c>
      <c r="C67" s="3" t="inlineStr">
        <is>
          <t>DATA_QUALITY</t>
        </is>
      </c>
      <c r="D67" s="3" t="inlineStr">
        <is>
          <t>PO_DATE_ORDER</t>
        </is>
      </c>
      <c r="E67" s="3" t="n"/>
      <c r="F67" s="3" t="n"/>
      <c r="G67" s="3" t="inlineStr">
        <is>
          <t>PO promised date earlier than order date: 2 row(s)</t>
        </is>
      </c>
      <c r="H67" s="3" t="inlineStr">
        <is>
          <t>Data Steward, MENA-PAK</t>
        </is>
      </c>
    </row>
    <row r="68">
      <c r="A68" s="3" t="inlineStr">
        <is>
          <t>MENA-PAK</t>
        </is>
      </c>
      <c r="B68" s="3" t="inlineStr">
        <is>
          <t>P2</t>
        </is>
      </c>
      <c r="C68" s="3" t="inlineStr">
        <is>
          <t>DATA_QUALITY</t>
        </is>
      </c>
      <c r="D68" s="3" t="inlineStr">
        <is>
          <t>FC_HORIZON_GAP</t>
        </is>
      </c>
      <c r="E68" s="3" t="n"/>
      <c r="F68" s="3" t="n"/>
      <c r="G68" s="3" t="inlineStr">
        <is>
          <t>SKU without forecast for every one of the next 8 weeks: 1 row(s)</t>
        </is>
      </c>
      <c r="H68" s="3" t="inlineStr">
        <is>
          <t>Data Steward, MENA-PAK</t>
        </is>
      </c>
    </row>
    <row r="69">
      <c r="A69" s="3" t="inlineStr">
        <is>
          <t>MENA-PAK</t>
        </is>
      </c>
      <c r="B69" s="3" t="inlineStr">
        <is>
          <t>P2</t>
        </is>
      </c>
      <c r="C69" s="3" t="inlineStr">
        <is>
          <t>DATA_QUALITY</t>
        </is>
      </c>
      <c r="D69" s="3" t="inlineStr">
        <is>
          <t>INV_DUP</t>
        </is>
      </c>
      <c r="E69" s="3" t="n"/>
      <c r="F69" s="3" t="n"/>
      <c r="G69" s="3" t="inlineStr">
        <is>
          <t>Duplicate (market, sku) rows in inventory extract: 2 row(s)</t>
        </is>
      </c>
      <c r="H69" s="3" t="inlineStr">
        <is>
          <t>Data Steward, MENA-PAK</t>
        </is>
      </c>
    </row>
    <row r="70">
      <c r="A70" s="3" t="inlineStr">
        <is>
          <t>MENA-PAK</t>
        </is>
      </c>
      <c r="B70" s="3" t="inlineStr">
        <is>
          <t>P2</t>
        </is>
      </c>
      <c r="C70" s="3" t="inlineStr">
        <is>
          <t>DATA_QUALITY</t>
        </is>
      </c>
      <c r="D70" s="3" t="inlineStr">
        <is>
          <t>INV_NULL_SS</t>
        </is>
      </c>
      <c r="E70" s="3" t="n"/>
      <c r="F70" s="3" t="n"/>
      <c r="G70" s="3" t="inlineStr">
        <is>
          <t>Missing safety stock value: 2 row(s)</t>
        </is>
      </c>
      <c r="H70" s="3" t="inlineStr">
        <is>
          <t>Data Steward, MENA-PAK</t>
        </is>
      </c>
    </row>
    <row r="71">
      <c r="A71" s="3" t="inlineStr">
        <is>
          <t>MENA-PAK</t>
        </is>
      </c>
      <c r="B71" s="3" t="inlineStr">
        <is>
          <t>P2</t>
        </is>
      </c>
      <c r="C71" s="3" t="inlineStr">
        <is>
          <t>FORECAST_BIAS</t>
        </is>
      </c>
      <c r="D71" s="3" t="inlineStr">
        <is>
          <t>MP-NET-007</t>
        </is>
      </c>
      <c r="E71" s="3" t="inlineStr">
        <is>
          <t>MP-NET-007</t>
        </is>
      </c>
      <c r="F71" s="3" t="n"/>
      <c r="G71" s="3" t="inlineStr">
        <is>
          <t>Bias -23.0% over last 8 weeks (WAPE 30.0%)</t>
        </is>
      </c>
      <c r="H71" s="3" t="inlineStr">
        <is>
          <t>Demand Planner, MENA-PAK</t>
        </is>
      </c>
    </row>
    <row r="72">
      <c r="A72" s="3" t="inlineStr">
        <is>
          <t>MENA-PAK</t>
        </is>
      </c>
      <c r="B72" s="3" t="inlineStr">
        <is>
          <t>P2</t>
        </is>
      </c>
      <c r="C72" s="3" t="inlineStr">
        <is>
          <t>FORECAST_BIAS</t>
        </is>
      </c>
      <c r="D72" s="3" t="inlineStr">
        <is>
          <t>MP-DEV-021</t>
        </is>
      </c>
      <c r="E72" s="3" t="inlineStr">
        <is>
          <t>MP-DEV-021</t>
        </is>
      </c>
      <c r="F72" s="3" t="n"/>
      <c r="G72" s="3" t="inlineStr">
        <is>
          <t>Bias -36.0% over last 8 weeks (WAPE 36.0%)</t>
        </is>
      </c>
      <c r="H72" s="3" t="inlineStr">
        <is>
          <t>Demand Planner, MENA-PAK</t>
        </is>
      </c>
    </row>
    <row r="73">
      <c r="A73" s="3" t="inlineStr">
        <is>
          <t>MENA-PAK</t>
        </is>
      </c>
      <c r="B73" s="3" t="inlineStr">
        <is>
          <t>P2</t>
        </is>
      </c>
      <c r="C73" s="3" t="inlineStr">
        <is>
          <t>LATE_PO</t>
        </is>
      </c>
      <c r="D73" s="3" t="inlineStr">
        <is>
          <t>PO000105</t>
        </is>
      </c>
      <c r="E73" s="3" t="inlineStr">
        <is>
          <t>MP-NET-019</t>
        </is>
      </c>
      <c r="F73" s="3" t="inlineStr">
        <is>
          <t>SUP-MP-02</t>
        </is>
      </c>
      <c r="G73" s="3" t="inlineStr">
        <is>
          <t>PO PO000105 is 12 days past promised date, open qty 742</t>
        </is>
      </c>
      <c r="H73" s="3" t="inlineStr">
        <is>
          <t>Procurement Lead, MENA-PAK</t>
        </is>
      </c>
    </row>
    <row r="74">
      <c r="A74" s="3" t="inlineStr">
        <is>
          <t>MENA-PAK</t>
        </is>
      </c>
      <c r="B74" s="3" t="inlineStr">
        <is>
          <t>P2</t>
        </is>
      </c>
      <c r="C74" s="3" t="inlineStr">
        <is>
          <t>LATE_PO</t>
        </is>
      </c>
      <c r="D74" s="3" t="inlineStr">
        <is>
          <t>PO000035</t>
        </is>
      </c>
      <c r="E74" s="3" t="inlineStr">
        <is>
          <t>MP-ACC-006</t>
        </is>
      </c>
      <c r="F74" s="3" t="inlineStr">
        <is>
          <t>SUP-MP-01</t>
        </is>
      </c>
      <c r="G74" s="3" t="inlineStr">
        <is>
          <t>PO PO000035 is 12 days past promised date, open qty 193</t>
        </is>
      </c>
      <c r="H74" s="3" t="inlineStr">
        <is>
          <t>Procurement Lead, MENA-PAK</t>
        </is>
      </c>
    </row>
    <row r="75">
      <c r="A75" s="3" t="inlineStr">
        <is>
          <t>MENA-PAK</t>
        </is>
      </c>
      <c r="B75" s="3" t="inlineStr">
        <is>
          <t>P2</t>
        </is>
      </c>
      <c r="C75" s="3" t="inlineStr">
        <is>
          <t>LATE_PO</t>
        </is>
      </c>
      <c r="D75" s="3" t="inlineStr">
        <is>
          <t>PO000123</t>
        </is>
      </c>
      <c r="E75" s="3" t="inlineStr">
        <is>
          <t>MP-ACC-022</t>
        </is>
      </c>
      <c r="F75" s="3" t="inlineStr">
        <is>
          <t>SUP-MP-01</t>
        </is>
      </c>
      <c r="G75" s="3" t="inlineStr">
        <is>
          <t>PO PO000123 is 3 days past promised date, open qty 658</t>
        </is>
      </c>
      <c r="H75" s="3" t="inlineStr">
        <is>
          <t>Procurement Lead, MENA-PAK</t>
        </is>
      </c>
    </row>
    <row r="76">
      <c r="A76" s="3" t="inlineStr">
        <is>
          <t>MENA-PAK</t>
        </is>
      </c>
      <c r="B76" s="3" t="inlineStr">
        <is>
          <t>P2</t>
        </is>
      </c>
      <c r="C76" s="3" t="inlineStr">
        <is>
          <t>LATE_PO</t>
        </is>
      </c>
      <c r="D76" s="3" t="inlineStr">
        <is>
          <t>PO000128</t>
        </is>
      </c>
      <c r="E76" s="3" t="inlineStr">
        <is>
          <t>MP-NET-023</t>
        </is>
      </c>
      <c r="F76" s="3" t="inlineStr">
        <is>
          <t>SUP-MP-02</t>
        </is>
      </c>
      <c r="G76" s="3" t="inlineStr">
        <is>
          <t>PO PO000128 is 6 days past promised date, open qty 690</t>
        </is>
      </c>
      <c r="H76" s="3" t="inlineStr">
        <is>
          <t>Procurement Lead, MENA-PAK</t>
        </is>
      </c>
    </row>
    <row r="77">
      <c r="A77" s="3" t="inlineStr">
        <is>
          <t>MENA-PAK</t>
        </is>
      </c>
      <c r="B77" s="3" t="inlineStr">
        <is>
          <t>P2</t>
        </is>
      </c>
      <c r="C77" s="3" t="inlineStr">
        <is>
          <t>LATE_PO</t>
        </is>
      </c>
      <c r="D77" s="3" t="inlineStr">
        <is>
          <t>PO000166</t>
        </is>
      </c>
      <c r="E77" s="3" t="inlineStr">
        <is>
          <t>MP-DEV-029</t>
        </is>
      </c>
      <c r="F77" s="3" t="inlineStr">
        <is>
          <t>SUP-MP-02</t>
        </is>
      </c>
      <c r="G77" s="3" t="inlineStr">
        <is>
          <t>PO PO000166 is 4 days past promised date, open qty 803</t>
        </is>
      </c>
      <c r="H77" s="3" t="inlineStr">
        <is>
          <t>Procurement Lead, MENA-PAK</t>
        </is>
      </c>
    </row>
    <row r="78">
      <c r="A78" s="3" t="inlineStr">
        <is>
          <t>MENA-PAK</t>
        </is>
      </c>
      <c r="B78" s="3" t="inlineStr">
        <is>
          <t>P2</t>
        </is>
      </c>
      <c r="C78" s="3" t="inlineStr">
        <is>
          <t>LATE_PO</t>
        </is>
      </c>
      <c r="D78" s="3" t="inlineStr">
        <is>
          <t>PO000145</t>
        </is>
      </c>
      <c r="E78" s="3" t="inlineStr">
        <is>
          <t>MP-ACC-026</t>
        </is>
      </c>
      <c r="F78" s="3" t="inlineStr">
        <is>
          <t>SUP-MP-04</t>
        </is>
      </c>
      <c r="G78" s="3" t="inlineStr">
        <is>
          <t>PO PO000145 is 7 days past promised date, open qty 49</t>
        </is>
      </c>
      <c r="H78" s="3" t="inlineStr">
        <is>
          <t>Procurement Lead, MENA-PAK</t>
        </is>
      </c>
    </row>
    <row r="79">
      <c r="A79" s="3" t="inlineStr">
        <is>
          <t>MENA-PAK</t>
        </is>
      </c>
      <c r="B79" s="3" t="inlineStr">
        <is>
          <t>P2</t>
        </is>
      </c>
      <c r="C79" s="3" t="inlineStr">
        <is>
          <t>LATE_PO</t>
        </is>
      </c>
      <c r="D79" s="3" t="inlineStr">
        <is>
          <t>PO000111</t>
        </is>
      </c>
      <c r="E79" s="3" t="inlineStr">
        <is>
          <t>MP-STO-020</t>
        </is>
      </c>
      <c r="F79" s="3" t="inlineStr">
        <is>
          <t>SUP-MP-02</t>
        </is>
      </c>
      <c r="G79" s="3" t="inlineStr">
        <is>
          <t>PO PO000111 is 3 days past promised date, open qty 725</t>
        </is>
      </c>
      <c r="H79" s="3" t="inlineStr">
        <is>
          <t>Procurement Lead, MENA-PAK</t>
        </is>
      </c>
    </row>
    <row r="80">
      <c r="A80" s="3" t="inlineStr">
        <is>
          <t>MENA-PAK</t>
        </is>
      </c>
      <c r="B80" s="3" t="inlineStr">
        <is>
          <t>P2</t>
        </is>
      </c>
      <c r="C80" s="3" t="inlineStr">
        <is>
          <t>LATE_PO</t>
        </is>
      </c>
      <c r="D80" s="3" t="inlineStr">
        <is>
          <t>PO000092</t>
        </is>
      </c>
      <c r="E80" s="3" t="inlineStr">
        <is>
          <t>MP-DEV-017</t>
        </is>
      </c>
      <c r="F80" s="3" t="inlineStr">
        <is>
          <t>SUP-MP-02</t>
        </is>
      </c>
      <c r="G80" s="3" t="inlineStr">
        <is>
          <t>PO PO000092 is 7 days past promised date, open qty 1141</t>
        </is>
      </c>
      <c r="H80" s="3" t="inlineStr">
        <is>
          <t>Procurement Lead, MENA-PAK</t>
        </is>
      </c>
    </row>
    <row r="81">
      <c r="A81" s="3" t="inlineStr">
        <is>
          <t>MENA-PAK</t>
        </is>
      </c>
      <c r="B81" s="3" t="inlineStr">
        <is>
          <t>P2</t>
        </is>
      </c>
      <c r="C81" s="3" t="inlineStr">
        <is>
          <t>STOCKOUT_RISK</t>
        </is>
      </c>
      <c r="D81" s="3" t="inlineStr">
        <is>
          <t>MP-STO-016</t>
        </is>
      </c>
      <c r="E81" s="3" t="inlineStr">
        <is>
          <t>MP-STO-016</t>
        </is>
      </c>
      <c r="F81" s="3" t="n"/>
      <c r="G81" s="3" t="inlineStr">
        <is>
          <t>Projected stockout in week 6 of 8 (lead time 27 d, cover 27.0 d)</t>
        </is>
      </c>
      <c r="H81" s="3" t="inlineStr">
        <is>
          <t>Supply Planner, MENA-PAK</t>
        </is>
      </c>
    </row>
    <row r="82">
      <c r="A82" s="3" t="inlineStr">
        <is>
          <t>South Africa</t>
        </is>
      </c>
      <c r="B82" s="3" t="inlineStr">
        <is>
          <t>P2</t>
        </is>
      </c>
      <c r="C82" s="3" t="inlineStr">
        <is>
          <t>DATA_QUALITY</t>
        </is>
      </c>
      <c r="D82" s="3" t="inlineStr">
        <is>
          <t>FC_NULL</t>
        </is>
      </c>
      <c r="E82" s="3" t="n"/>
      <c r="F82" s="3" t="n"/>
      <c r="G82" s="3" t="inlineStr">
        <is>
          <t>Forecast row with missing quantity: 3 row(s)</t>
        </is>
      </c>
      <c r="H82" s="3" t="inlineStr">
        <is>
          <t>Data Steward, South Africa</t>
        </is>
      </c>
    </row>
    <row r="83">
      <c r="A83" s="3" t="inlineStr">
        <is>
          <t>South Africa</t>
        </is>
      </c>
      <c r="B83" s="3" t="inlineStr">
        <is>
          <t>P2</t>
        </is>
      </c>
      <c r="C83" s="3" t="inlineStr">
        <is>
          <t>DATA_QUALITY</t>
        </is>
      </c>
      <c r="D83" s="3" t="inlineStr">
        <is>
          <t>INV_DUP</t>
        </is>
      </c>
      <c r="E83" s="3" t="n"/>
      <c r="F83" s="3" t="n"/>
      <c r="G83" s="3" t="inlineStr">
        <is>
          <t>Duplicate (market, sku) rows in inventory extract: 2 row(s)</t>
        </is>
      </c>
      <c r="H83" s="3" t="inlineStr">
        <is>
          <t>Data Steward, South Africa</t>
        </is>
      </c>
    </row>
    <row r="84">
      <c r="A84" s="3" t="inlineStr">
        <is>
          <t>South Africa</t>
        </is>
      </c>
      <c r="B84" s="3" t="inlineStr">
        <is>
          <t>P2</t>
        </is>
      </c>
      <c r="C84" s="3" t="inlineStr">
        <is>
          <t>DATA_QUALITY</t>
        </is>
      </c>
      <c r="D84" s="3" t="inlineStr">
        <is>
          <t>INV_NULL_SS</t>
        </is>
      </c>
      <c r="E84" s="3" t="n"/>
      <c r="F84" s="3" t="n"/>
      <c r="G84" s="3" t="inlineStr">
        <is>
          <t>Missing safety stock value: 2 row(s)</t>
        </is>
      </c>
      <c r="H84" s="3" t="inlineStr">
        <is>
          <t>Data Steward, South Africa</t>
        </is>
      </c>
    </row>
    <row r="85">
      <c r="A85" s="3" t="inlineStr">
        <is>
          <t>South Africa</t>
        </is>
      </c>
      <c r="B85" s="3" t="inlineStr">
        <is>
          <t>P2</t>
        </is>
      </c>
      <c r="C85" s="3" t="inlineStr">
        <is>
          <t>DATA_QUALITY</t>
        </is>
      </c>
      <c r="D85" s="3" t="inlineStr">
        <is>
          <t>PO_DATE_ORDER</t>
        </is>
      </c>
      <c r="E85" s="3" t="n"/>
      <c r="F85" s="3" t="n"/>
      <c r="G85" s="3" t="inlineStr">
        <is>
          <t>PO promised date earlier than order date: 2 row(s)</t>
        </is>
      </c>
      <c r="H85" s="3" t="inlineStr">
        <is>
          <t>Data Steward, South Africa</t>
        </is>
      </c>
    </row>
    <row r="86">
      <c r="A86" s="3" t="inlineStr">
        <is>
          <t>South Africa</t>
        </is>
      </c>
      <c r="B86" s="3" t="inlineStr">
        <is>
          <t>P2</t>
        </is>
      </c>
      <c r="C86" s="3" t="inlineStr">
        <is>
          <t>FORECAST_BIAS</t>
        </is>
      </c>
      <c r="D86" s="3" t="inlineStr">
        <is>
          <t>ZA-STO-008</t>
        </is>
      </c>
      <c r="E86" s="3" t="inlineStr">
        <is>
          <t>ZA-STO-008</t>
        </is>
      </c>
      <c r="F86" s="3" t="n"/>
      <c r="G86" s="3" t="inlineStr">
        <is>
          <t>Bias -27.0% over last 8 weeks (WAPE 27.0%)</t>
        </is>
      </c>
      <c r="H86" s="3" t="inlineStr">
        <is>
          <t>Demand Planner, South Africa</t>
        </is>
      </c>
    </row>
    <row r="87">
      <c r="A87" s="3" t="inlineStr">
        <is>
          <t>South Africa</t>
        </is>
      </c>
      <c r="B87" s="3" t="inlineStr">
        <is>
          <t>P2</t>
        </is>
      </c>
      <c r="C87" s="3" t="inlineStr">
        <is>
          <t>FORECAST_BIAS</t>
        </is>
      </c>
      <c r="D87" s="3" t="inlineStr">
        <is>
          <t>ZA-DEV-001</t>
        </is>
      </c>
      <c r="E87" s="3" t="inlineStr">
        <is>
          <t>ZA-DEV-001</t>
        </is>
      </c>
      <c r="F87" s="3" t="n"/>
      <c r="G87" s="3" t="inlineStr">
        <is>
          <t>Bias -29.0% over last 8 weeks (WAPE 31.0%)</t>
        </is>
      </c>
      <c r="H87" s="3" t="inlineStr">
        <is>
          <t>Demand Planner, South Africa</t>
        </is>
      </c>
    </row>
    <row r="88">
      <c r="A88" s="3" t="inlineStr">
        <is>
          <t>South Africa</t>
        </is>
      </c>
      <c r="B88" s="3" t="inlineStr">
        <is>
          <t>P2</t>
        </is>
      </c>
      <c r="C88" s="3" t="inlineStr">
        <is>
          <t>FORECAST_BIAS</t>
        </is>
      </c>
      <c r="D88" s="3" t="inlineStr">
        <is>
          <t>ZA-NET-003</t>
        </is>
      </c>
      <c r="E88" s="3" t="inlineStr">
        <is>
          <t>ZA-NET-003</t>
        </is>
      </c>
      <c r="F88" s="3" t="n"/>
      <c r="G88" s="3" t="inlineStr">
        <is>
          <t>Bias 48.0% over last 8 weeks (WAPE 49.0%)</t>
        </is>
      </c>
      <c r="H88" s="3" t="inlineStr">
        <is>
          <t>Demand Planner, South Africa</t>
        </is>
      </c>
    </row>
    <row r="89">
      <c r="A89" s="3" t="inlineStr">
        <is>
          <t>South Africa</t>
        </is>
      </c>
      <c r="B89" s="3" t="inlineStr">
        <is>
          <t>P2</t>
        </is>
      </c>
      <c r="C89" s="3" t="inlineStr">
        <is>
          <t>FORECAST_BIAS</t>
        </is>
      </c>
      <c r="D89" s="3" t="inlineStr">
        <is>
          <t>ZA-DEV-017</t>
        </is>
      </c>
      <c r="E89" s="3" t="inlineStr">
        <is>
          <t>ZA-DEV-017</t>
        </is>
      </c>
      <c r="F89" s="3" t="n"/>
      <c r="G89" s="3" t="inlineStr">
        <is>
          <t>Bias 23.0% over last 8 weeks (WAPE 25.0%)</t>
        </is>
      </c>
      <c r="H89" s="3" t="inlineStr">
        <is>
          <t>Demand Planner, South Africa</t>
        </is>
      </c>
    </row>
    <row r="90">
      <c r="A90" s="3" t="inlineStr">
        <is>
          <t>South Africa</t>
        </is>
      </c>
      <c r="B90" s="3" t="inlineStr">
        <is>
          <t>P2</t>
        </is>
      </c>
      <c r="C90" s="3" t="inlineStr">
        <is>
          <t>LATE_PO</t>
        </is>
      </c>
      <c r="D90" s="3" t="inlineStr">
        <is>
          <t>PO000155</t>
        </is>
      </c>
      <c r="E90" s="3" t="inlineStr">
        <is>
          <t>ZA-DEV-029</t>
        </is>
      </c>
      <c r="F90" s="3" t="inlineStr">
        <is>
          <t>SUP-ZA-02</t>
        </is>
      </c>
      <c r="G90" s="3" t="inlineStr">
        <is>
          <t>PO PO000155 is 9 days past promised date, open qty 340</t>
        </is>
      </c>
      <c r="H90" s="3" t="inlineStr">
        <is>
          <t>Procurement Lead, South Africa</t>
        </is>
      </c>
    </row>
    <row r="91">
      <c r="A91" s="3" t="inlineStr">
        <is>
          <t>South Africa</t>
        </is>
      </c>
      <c r="B91" s="3" t="inlineStr">
        <is>
          <t>P2</t>
        </is>
      </c>
      <c r="C91" s="3" t="inlineStr">
        <is>
          <t>LATE_PO</t>
        </is>
      </c>
      <c r="D91" s="3" t="inlineStr">
        <is>
          <t>PO000113</t>
        </is>
      </c>
      <c r="E91" s="3" t="inlineStr">
        <is>
          <t>ZA-ACC-022</t>
        </is>
      </c>
      <c r="F91" s="3" t="inlineStr">
        <is>
          <t>SUP-ZA-02</t>
        </is>
      </c>
      <c r="G91" s="3" t="inlineStr">
        <is>
          <t>PO PO000113 is 4 days past promised date, open qty 489</t>
        </is>
      </c>
      <c r="H91" s="3" t="inlineStr">
        <is>
          <t>Procurement Lead, South Africa</t>
        </is>
      </c>
    </row>
    <row r="92">
      <c r="A92" s="3" t="inlineStr">
        <is>
          <t>South Africa</t>
        </is>
      </c>
      <c r="B92" s="3" t="inlineStr">
        <is>
          <t>P2</t>
        </is>
      </c>
      <c r="C92" s="3" t="inlineStr">
        <is>
          <t>LATE_PO</t>
        </is>
      </c>
      <c r="D92" s="3" t="inlineStr">
        <is>
          <t>PO000065</t>
        </is>
      </c>
      <c r="E92" s="3" t="inlineStr">
        <is>
          <t>ZA-STO-012</t>
        </is>
      </c>
      <c r="F92" s="3" t="inlineStr">
        <is>
          <t>SUP-ZA-02</t>
        </is>
      </c>
      <c r="G92" s="3" t="inlineStr">
        <is>
          <t>PO PO000065 is 8 days past promised date, open qty 766</t>
        </is>
      </c>
      <c r="H92" s="3" t="inlineStr">
        <is>
          <t>Procurement Lead, South Africa</t>
        </is>
      </c>
    </row>
    <row r="93">
      <c r="A93" s="3" t="inlineStr">
        <is>
          <t>South Africa</t>
        </is>
      </c>
      <c r="B93" s="3" t="inlineStr">
        <is>
          <t>P2</t>
        </is>
      </c>
      <c r="C93" s="3" t="inlineStr">
        <is>
          <t>LATE_PO</t>
        </is>
      </c>
      <c r="D93" s="3" t="inlineStr">
        <is>
          <t>PO000090</t>
        </is>
      </c>
      <c r="E93" s="3" t="inlineStr">
        <is>
          <t>ZA-DEV-017</t>
        </is>
      </c>
      <c r="F93" s="3" t="inlineStr">
        <is>
          <t>SUP-ZA-03</t>
        </is>
      </c>
      <c r="G93" s="3" t="inlineStr">
        <is>
          <t>PO PO000090 is 4 days past promised date, open qty 489</t>
        </is>
      </c>
      <c r="H93" s="3" t="inlineStr">
        <is>
          <t>Procurement Lead, South Africa</t>
        </is>
      </c>
    </row>
    <row r="94">
      <c r="A94" s="3" t="inlineStr">
        <is>
          <t>South Africa</t>
        </is>
      </c>
      <c r="B94" s="3" t="inlineStr">
        <is>
          <t>P2</t>
        </is>
      </c>
      <c r="C94" s="3" t="inlineStr">
        <is>
          <t>LATE_PO</t>
        </is>
      </c>
      <c r="D94" s="3" t="inlineStr">
        <is>
          <t>PO000027</t>
        </is>
      </c>
      <c r="E94" s="3" t="inlineStr">
        <is>
          <t>ZA-DEV-005</t>
        </is>
      </c>
      <c r="F94" s="3" t="inlineStr">
        <is>
          <t>SUP-ZA-02</t>
        </is>
      </c>
      <c r="G94" s="3" t="inlineStr">
        <is>
          <t>PO PO000027 is 3 days past promised date, open qty 435</t>
        </is>
      </c>
      <c r="H94" s="3" t="inlineStr">
        <is>
          <t>Procurement Lead, South Africa</t>
        </is>
      </c>
    </row>
    <row r="95">
      <c r="A95" s="3" t="inlineStr">
        <is>
          <t>South Africa</t>
        </is>
      </c>
      <c r="B95" s="3" t="inlineStr">
        <is>
          <t>P2</t>
        </is>
      </c>
      <c r="C95" s="3" t="inlineStr">
        <is>
          <t>STOCKOUT_RISK</t>
        </is>
      </c>
      <c r="D95" s="3" t="inlineStr">
        <is>
          <t>ZA-DEV-005</t>
        </is>
      </c>
      <c r="E95" s="3" t="inlineStr">
        <is>
          <t>ZA-DEV-005</t>
        </is>
      </c>
      <c r="F95" s="3" t="n"/>
      <c r="G95" s="3" t="inlineStr">
        <is>
          <t>Projected stockout in week 8 of 8 (lead time 32 d, cover 32.0 d)</t>
        </is>
      </c>
      <c r="H95" s="3" t="inlineStr">
        <is>
          <t>Supply Planner, South Africa</t>
        </is>
      </c>
    </row>
    <row r="96">
      <c r="A96" s="3" t="inlineStr">
        <is>
          <t>South Africa</t>
        </is>
      </c>
      <c r="B96" s="3" t="inlineStr">
        <is>
          <t>P2</t>
        </is>
      </c>
      <c r="C96" s="3" t="inlineStr">
        <is>
          <t>STOCKOUT_RISK</t>
        </is>
      </c>
      <c r="D96" s="3" t="inlineStr">
        <is>
          <t>ZA-NET-003</t>
        </is>
      </c>
      <c r="E96" s="3" t="inlineStr">
        <is>
          <t>ZA-NET-003</t>
        </is>
      </c>
      <c r="F96" s="3" t="n"/>
      <c r="G96" s="3" t="inlineStr">
        <is>
          <t>Projected stockout in week 7 of 8 (lead time 36 d, cover 44.0 d)</t>
        </is>
      </c>
      <c r="H96" s="3" t="inlineStr">
        <is>
          <t>Supply Planner, South Africa</t>
        </is>
      </c>
    </row>
    <row r="97">
      <c r="A97" s="3" t="inlineStr">
        <is>
          <t>APAC</t>
        </is>
      </c>
      <c r="B97" s="3" t="inlineStr">
        <is>
          <t>P3</t>
        </is>
      </c>
      <c r="C97" s="3" t="inlineStr">
        <is>
          <t>DATA_QUALITY</t>
        </is>
      </c>
      <c r="D97" s="3" t="inlineStr">
        <is>
          <t>SALES_NEG</t>
        </is>
      </c>
      <c r="E97" s="3" t="n"/>
      <c r="F97" s="3" t="n"/>
      <c r="G97" s="3" t="inlineStr">
        <is>
          <t>Negative units in sales actuals (returns not netted?): 1 row(s)</t>
        </is>
      </c>
      <c r="H97" s="3" t="inlineStr">
        <is>
          <t>Data Steward, APAC</t>
        </is>
      </c>
    </row>
    <row r="98">
      <c r="A98" s="3" t="inlineStr">
        <is>
          <t>APAC</t>
        </is>
      </c>
      <c r="B98" s="3" t="inlineStr">
        <is>
          <t>P3</t>
        </is>
      </c>
      <c r="C98" s="3" t="inlineStr">
        <is>
          <t>EXCESS_STOCK</t>
        </is>
      </c>
      <c r="D98" s="3" t="inlineStr">
        <is>
          <t>AP-DEV-001</t>
        </is>
      </c>
      <c r="E98" s="3" t="inlineStr">
        <is>
          <t>AP-DEV-001</t>
        </is>
      </c>
      <c r="F98" s="3" t="n"/>
      <c r="G98" s="3" t="inlineStr">
        <is>
          <t>Cover 266.0 d exceeds 120 d; excess value 863954.0</t>
        </is>
      </c>
      <c r="H98" s="3" t="inlineStr">
        <is>
          <t>Inventory Planner, APAC</t>
        </is>
      </c>
    </row>
    <row r="99">
      <c r="A99" s="3" t="inlineStr">
        <is>
          <t>APAC</t>
        </is>
      </c>
      <c r="B99" s="3" t="inlineStr">
        <is>
          <t>P3</t>
        </is>
      </c>
      <c r="C99" s="3" t="inlineStr">
        <is>
          <t>EXCESS_STOCK</t>
        </is>
      </c>
      <c r="D99" s="3" t="inlineStr">
        <is>
          <t>AP-DEV-025</t>
        </is>
      </c>
      <c r="E99" s="3" t="inlineStr">
        <is>
          <t>AP-DEV-025</t>
        </is>
      </c>
      <c r="F99" s="3" t="n"/>
      <c r="G99" s="3" t="inlineStr">
        <is>
          <t>Cover 295.0 d exceeds 120 d; excess value 345744.0</t>
        </is>
      </c>
      <c r="H99" s="3" t="inlineStr">
        <is>
          <t>Inventory Planner, APAC</t>
        </is>
      </c>
    </row>
    <row r="100">
      <c r="A100" s="3" t="inlineStr">
        <is>
          <t>APAC</t>
        </is>
      </c>
      <c r="B100" s="3" t="inlineStr">
        <is>
          <t>P3</t>
        </is>
      </c>
      <c r="C100" s="3" t="inlineStr">
        <is>
          <t>EXCESS_STOCK</t>
        </is>
      </c>
      <c r="D100" s="3" t="inlineStr">
        <is>
          <t>AP-STO-016</t>
        </is>
      </c>
      <c r="E100" s="3" t="inlineStr">
        <is>
          <t>AP-STO-016</t>
        </is>
      </c>
      <c r="F100" s="3" t="n"/>
      <c r="G100" s="3" t="inlineStr">
        <is>
          <t>Cover 169.0 d exceeds 120 d; excess value 211565.0</t>
        </is>
      </c>
      <c r="H100" s="3" t="inlineStr">
        <is>
          <t>Inventory Planner, APAC</t>
        </is>
      </c>
    </row>
    <row r="101">
      <c r="A101" s="3" t="inlineStr">
        <is>
          <t>APAC</t>
        </is>
      </c>
      <c r="B101" s="3" t="inlineStr">
        <is>
          <t>P3</t>
        </is>
      </c>
      <c r="C101" s="3" t="inlineStr">
        <is>
          <t>EXCESS_STOCK</t>
        </is>
      </c>
      <c r="D101" s="3" t="inlineStr">
        <is>
          <t>AP-ACC-010</t>
        </is>
      </c>
      <c r="E101" s="3" t="inlineStr">
        <is>
          <t>AP-ACC-010</t>
        </is>
      </c>
      <c r="F101" s="3" t="n"/>
      <c r="G101" s="3" t="inlineStr">
        <is>
          <t>Cover 165.0 d exceeds 120 d; excess value 129676.0</t>
        </is>
      </c>
      <c r="H101" s="3" t="inlineStr">
        <is>
          <t>Inventory Planner, APAC</t>
        </is>
      </c>
    </row>
    <row r="102">
      <c r="A102" s="3" t="inlineStr">
        <is>
          <t>India</t>
        </is>
      </c>
      <c r="B102" s="3" t="inlineStr">
        <is>
          <t>P3</t>
        </is>
      </c>
      <c r="C102" s="3" t="inlineStr">
        <is>
          <t>DATA_QUALITY</t>
        </is>
      </c>
      <c r="D102" s="3" t="inlineStr">
        <is>
          <t>SALES_NEG</t>
        </is>
      </c>
      <c r="E102" s="3" t="n"/>
      <c r="F102" s="3" t="n"/>
      <c r="G102" s="3" t="inlineStr">
        <is>
          <t>Negative units in sales actuals (returns not netted?): 1 row(s)</t>
        </is>
      </c>
      <c r="H102" s="3" t="inlineStr">
        <is>
          <t>Data Steward, India</t>
        </is>
      </c>
    </row>
    <row r="103">
      <c r="A103" s="3" t="inlineStr">
        <is>
          <t>India</t>
        </is>
      </c>
      <c r="B103" s="3" t="inlineStr">
        <is>
          <t>P3</t>
        </is>
      </c>
      <c r="C103" s="3" t="inlineStr">
        <is>
          <t>EXCESS_STOCK</t>
        </is>
      </c>
      <c r="D103" s="3" t="inlineStr">
        <is>
          <t>IN-ACC-030</t>
        </is>
      </c>
      <c r="E103" s="3" t="inlineStr">
        <is>
          <t>IN-ACC-030</t>
        </is>
      </c>
      <c r="F103" s="3" t="n"/>
      <c r="G103" s="3" t="inlineStr">
        <is>
          <t>Cover 189.0 d exceeds 120 d; excess value 128818.0</t>
        </is>
      </c>
      <c r="H103" s="3" t="inlineStr">
        <is>
          <t>Inventory Planner, India</t>
        </is>
      </c>
    </row>
    <row r="104">
      <c r="A104" s="3" t="inlineStr">
        <is>
          <t>India</t>
        </is>
      </c>
      <c r="B104" s="3" t="inlineStr">
        <is>
          <t>P3</t>
        </is>
      </c>
      <c r="C104" s="3" t="inlineStr">
        <is>
          <t>FORECAST_DIVERGENCE</t>
        </is>
      </c>
      <c r="D104" s="3" t="inlineStr">
        <is>
          <t>IN-NET-031</t>
        </is>
      </c>
      <c r="E104" s="3" t="inlineStr">
        <is>
          <t>IN-NET-031</t>
        </is>
      </c>
      <c r="F104" s="3" t="n"/>
      <c r="G104" s="3" t="inlineStr">
        <is>
          <t>System 4-week forecast 877 vs ML baseline 645 (+36%)</t>
        </is>
      </c>
      <c r="H104" s="3" t="inlineStr">
        <is>
          <t>Demand Planner, India</t>
        </is>
      </c>
    </row>
    <row r="105">
      <c r="A105" s="3" t="inlineStr">
        <is>
          <t>India</t>
        </is>
      </c>
      <c r="B105" s="3" t="inlineStr">
        <is>
          <t>P3</t>
        </is>
      </c>
      <c r="C105" s="3" t="inlineStr">
        <is>
          <t>FORECAST_DIVERGENCE</t>
        </is>
      </c>
      <c r="D105" s="3" t="inlineStr">
        <is>
          <t>IN-ACC-034</t>
        </is>
      </c>
      <c r="E105" s="3" t="inlineStr">
        <is>
          <t>IN-ACC-034</t>
        </is>
      </c>
      <c r="F105" s="3" t="n"/>
      <c r="G105" s="3" t="inlineStr">
        <is>
          <t>System 4-week forecast 589 vs ML baseline 412 (+43%)</t>
        </is>
      </c>
      <c r="H105" s="3" t="inlineStr">
        <is>
          <t>Demand Planner, India</t>
        </is>
      </c>
    </row>
    <row r="106">
      <c r="A106" s="3" t="inlineStr">
        <is>
          <t>MENA-PAK</t>
        </is>
      </c>
      <c r="B106" s="3" t="inlineStr">
        <is>
          <t>P3</t>
        </is>
      </c>
      <c r="C106" s="3" t="inlineStr">
        <is>
          <t>DATA_QUALITY</t>
        </is>
      </c>
      <c r="D106" s="3" t="inlineStr">
        <is>
          <t>SALES_NEG</t>
        </is>
      </c>
      <c r="E106" s="3" t="n"/>
      <c r="F106" s="3" t="n"/>
      <c r="G106" s="3" t="inlineStr">
        <is>
          <t>Negative units in sales actuals (returns not netted?): 1 row(s)</t>
        </is>
      </c>
      <c r="H106" s="3" t="inlineStr">
        <is>
          <t>Data Steward, MENA-PAK</t>
        </is>
      </c>
    </row>
    <row r="107">
      <c r="A107" s="3" t="inlineStr">
        <is>
          <t>MENA-PAK</t>
        </is>
      </c>
      <c r="B107" s="3" t="inlineStr">
        <is>
          <t>P3</t>
        </is>
      </c>
      <c r="C107" s="3" t="inlineStr">
        <is>
          <t>EXCESS_STOCK</t>
        </is>
      </c>
      <c r="D107" s="3" t="inlineStr">
        <is>
          <t>MP-STO-004</t>
        </is>
      </c>
      <c r="E107" s="3" t="inlineStr">
        <is>
          <t>MP-STO-004</t>
        </is>
      </c>
      <c r="F107" s="3" t="n"/>
      <c r="G107" s="3" t="inlineStr">
        <is>
          <t>Cover 204.0 d exceeds 120 d; excess value 204315.0</t>
        </is>
      </c>
      <c r="H107" s="3" t="inlineStr">
        <is>
          <t>Inventory Planner, MENA-PAK</t>
        </is>
      </c>
    </row>
    <row r="108">
      <c r="A108" s="3" t="inlineStr">
        <is>
          <t>MENA-PAK</t>
        </is>
      </c>
      <c r="B108" s="3" t="inlineStr">
        <is>
          <t>P3</t>
        </is>
      </c>
      <c r="C108" s="3" t="inlineStr">
        <is>
          <t>EXCESS_STOCK</t>
        </is>
      </c>
      <c r="D108" s="3" t="inlineStr">
        <is>
          <t>MP-DEV-021</t>
        </is>
      </c>
      <c r="E108" s="3" t="inlineStr">
        <is>
          <t>MP-DEV-021</t>
        </is>
      </c>
      <c r="F108" s="3" t="n"/>
      <c r="G108" s="3" t="inlineStr">
        <is>
          <t>Cover 169.0 d exceeds 120 d; excess value 1032021.0</t>
        </is>
      </c>
      <c r="H108" s="3" t="inlineStr">
        <is>
          <t>Inventory Planner, MENA-PAK</t>
        </is>
      </c>
    </row>
    <row r="109">
      <c r="A109" s="3" t="inlineStr">
        <is>
          <t>South Africa</t>
        </is>
      </c>
      <c r="B109" s="3" t="inlineStr">
        <is>
          <t>P3</t>
        </is>
      </c>
      <c r="C109" s="3" t="inlineStr">
        <is>
          <t>DATA_QUALITY</t>
        </is>
      </c>
      <c r="D109" s="3" t="inlineStr">
        <is>
          <t>SALES_NEG</t>
        </is>
      </c>
      <c r="E109" s="3" t="n"/>
      <c r="F109" s="3" t="n"/>
      <c r="G109" s="3" t="inlineStr">
        <is>
          <t>Negative units in sales actuals (returns not netted?): 1 row(s)</t>
        </is>
      </c>
      <c r="H109" s="3" t="inlineStr">
        <is>
          <t>Data Steward, South Africa</t>
        </is>
      </c>
    </row>
    <row r="110">
      <c r="A110" s="3" t="inlineStr">
        <is>
          <t>South Africa</t>
        </is>
      </c>
      <c r="B110" s="3" t="inlineStr">
        <is>
          <t>P3</t>
        </is>
      </c>
      <c r="C110" s="3" t="inlineStr">
        <is>
          <t>EXCESS_STOCK</t>
        </is>
      </c>
      <c r="D110" s="3" t="inlineStr">
        <is>
          <t>ZA-STO-024</t>
        </is>
      </c>
      <c r="E110" s="3" t="inlineStr">
        <is>
          <t>ZA-STO-024</t>
        </is>
      </c>
      <c r="F110" s="3" t="n"/>
      <c r="G110" s="3" t="inlineStr">
        <is>
          <t>Cover 199.0 d exceeds 120 d; excess value 96384.0</t>
        </is>
      </c>
      <c r="H110" s="3" t="inlineStr">
        <is>
          <t>Inventory Planner, South Africa</t>
        </is>
      </c>
    </row>
    <row r="111">
      <c r="A111" s="3" t="inlineStr">
        <is>
          <t>South Africa</t>
        </is>
      </c>
      <c r="B111" s="3" t="inlineStr">
        <is>
          <t>P3</t>
        </is>
      </c>
      <c r="C111" s="3" t="inlineStr">
        <is>
          <t>EXCESS_STOCK</t>
        </is>
      </c>
      <c r="D111" s="3" t="inlineStr">
        <is>
          <t>ZA-ACC-010</t>
        </is>
      </c>
      <c r="E111" s="3" t="inlineStr">
        <is>
          <t>ZA-ACC-010</t>
        </is>
      </c>
      <c r="F111" s="3" t="n"/>
      <c r="G111" s="3" t="inlineStr">
        <is>
          <t>Cover 141.0 d exceeds 120 d; excess value 152885.0</t>
        </is>
      </c>
      <c r="H111" s="3" t="inlineStr">
        <is>
          <t>Inventory Planner, South Africa</t>
        </is>
      </c>
    </row>
    <row r="112">
      <c r="A112" s="3" t="inlineStr">
        <is>
          <t>South Africa</t>
        </is>
      </c>
      <c r="B112" s="3" t="inlineStr">
        <is>
          <t>P3</t>
        </is>
      </c>
      <c r="C112" s="3" t="inlineStr">
        <is>
          <t>FORECAST_DIVERGENCE</t>
        </is>
      </c>
      <c r="D112" s="3" t="inlineStr">
        <is>
          <t>ZA-DEV-017</t>
        </is>
      </c>
      <c r="E112" s="3" t="inlineStr">
        <is>
          <t>ZA-DEV-017</t>
        </is>
      </c>
      <c r="F112" s="3" t="n"/>
      <c r="G112" s="3" t="inlineStr">
        <is>
          <t>System 4-week forecast 1545 vs ML baseline 1084 (+43%)</t>
        </is>
      </c>
      <c r="H112" s="3" t="inlineStr">
        <is>
          <t>Demand Planner, South Africa</t>
        </is>
      </c>
    </row>
    <row r="113">
      <c r="A113" s="3" t="inlineStr">
        <is>
          <t>South Africa</t>
        </is>
      </c>
      <c r="B113" s="3" t="inlineStr">
        <is>
          <t>P3</t>
        </is>
      </c>
      <c r="C113" s="3" t="inlineStr">
        <is>
          <t>FORECAST_DIVERGENCE</t>
        </is>
      </c>
      <c r="D113" s="3" t="inlineStr">
        <is>
          <t>ZA-NET-003</t>
        </is>
      </c>
      <c r="E113" s="3" t="inlineStr">
        <is>
          <t>ZA-NET-003</t>
        </is>
      </c>
      <c r="F113" s="3" t="n"/>
      <c r="G113" s="3" t="inlineStr">
        <is>
          <t>System 4-week forecast 511 vs ML baseline 358 (+43%)</t>
        </is>
      </c>
      <c r="H113" s="3" t="inlineStr">
        <is>
          <t>Demand Planner, South Africa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70" customWidth="1" min="4" max="4"/>
    <col width="10" customWidth="1" min="5" max="5"/>
    <col width="10" customWidth="1" min="6" max="6"/>
  </cols>
  <sheetData>
    <row r="1">
      <c r="A1" s="2" t="inlineStr">
        <is>
          <t>market</t>
        </is>
      </c>
      <c r="B1" s="2" t="inlineStr">
        <is>
          <t>check_id</t>
        </is>
      </c>
      <c r="C1" s="2" t="inlineStr">
        <is>
          <t>severity</t>
        </is>
      </c>
      <c r="D1" s="2" t="inlineStr">
        <is>
          <t>description</t>
        </is>
      </c>
      <c r="E1" s="2" t="inlineStr">
        <is>
          <t>n_fail</t>
        </is>
      </c>
      <c r="F1" s="2" t="inlineStr">
        <is>
          <t>status</t>
        </is>
      </c>
    </row>
    <row r="2">
      <c r="A2" s="3" t="inlineStr">
        <is>
          <t>APAC</t>
        </is>
      </c>
      <c r="B2" s="3" t="inlineStr">
        <is>
          <t>INV_DUP</t>
        </is>
      </c>
      <c r="C2" s="3" t="inlineStr">
        <is>
          <t>MEDIUM</t>
        </is>
      </c>
      <c r="D2" s="3" t="inlineStr">
        <is>
          <t>Duplicate (market, sku) rows in inventory extract</t>
        </is>
      </c>
      <c r="E2" s="3" t="n">
        <v>2</v>
      </c>
      <c r="F2" s="3" t="inlineStr">
        <is>
          <t>FAIL</t>
        </is>
      </c>
    </row>
    <row r="3">
      <c r="A3" s="3" t="inlineStr">
        <is>
          <t>India</t>
        </is>
      </c>
      <c r="B3" s="3" t="inlineStr">
        <is>
          <t>INV_DUP</t>
        </is>
      </c>
      <c r="C3" s="3" t="inlineStr">
        <is>
          <t>MEDIUM</t>
        </is>
      </c>
      <c r="D3" s="3" t="inlineStr">
        <is>
          <t>Duplicate (market, sku) rows in inventory extract</t>
        </is>
      </c>
      <c r="E3" s="3" t="n">
        <v>2</v>
      </c>
      <c r="F3" s="3" t="inlineStr">
        <is>
          <t>FAIL</t>
        </is>
      </c>
    </row>
    <row r="4">
      <c r="A4" s="3" t="inlineStr">
        <is>
          <t>MENA-PAK</t>
        </is>
      </c>
      <c r="B4" s="3" t="inlineStr">
        <is>
          <t>INV_DUP</t>
        </is>
      </c>
      <c r="C4" s="3" t="inlineStr">
        <is>
          <t>MEDIUM</t>
        </is>
      </c>
      <c r="D4" s="3" t="inlineStr">
        <is>
          <t>Duplicate (market, sku) rows in inventory extract</t>
        </is>
      </c>
      <c r="E4" s="3" t="n">
        <v>2</v>
      </c>
      <c r="F4" s="3" t="inlineStr">
        <is>
          <t>FAIL</t>
        </is>
      </c>
    </row>
    <row r="5">
      <c r="A5" s="3" t="inlineStr">
        <is>
          <t>South Africa</t>
        </is>
      </c>
      <c r="B5" s="3" t="inlineStr">
        <is>
          <t>INV_DUP</t>
        </is>
      </c>
      <c r="C5" s="3" t="inlineStr">
        <is>
          <t>MEDIUM</t>
        </is>
      </c>
      <c r="D5" s="3" t="inlineStr">
        <is>
          <t>Duplicate (market, sku) rows in inventory extract</t>
        </is>
      </c>
      <c r="E5" s="3" t="n">
        <v>2</v>
      </c>
      <c r="F5" s="3" t="inlineStr">
        <is>
          <t>FAIL</t>
        </is>
      </c>
    </row>
    <row r="6">
      <c r="A6" s="3" t="inlineStr">
        <is>
          <t>APAC</t>
        </is>
      </c>
      <c r="B6" s="3" t="inlineStr">
        <is>
          <t>INV_NEG_ONHAND</t>
        </is>
      </c>
      <c r="C6" s="3" t="inlineStr">
        <is>
          <t>HIGH</t>
        </is>
      </c>
      <c r="D6" s="3" t="inlineStr">
        <is>
          <t>Negative on-hand quantity in inventory extract</t>
        </is>
      </c>
      <c r="E6" s="3" t="n">
        <v>2</v>
      </c>
      <c r="F6" s="3" t="inlineStr">
        <is>
          <t>FAIL</t>
        </is>
      </c>
    </row>
    <row r="7">
      <c r="A7" s="3" t="inlineStr">
        <is>
          <t>India</t>
        </is>
      </c>
      <c r="B7" s="3" t="inlineStr">
        <is>
          <t>INV_NEG_ONHAND</t>
        </is>
      </c>
      <c r="C7" s="3" t="inlineStr">
        <is>
          <t>HIGH</t>
        </is>
      </c>
      <c r="D7" s="3" t="inlineStr">
        <is>
          <t>Negative on-hand quantity in inventory extract</t>
        </is>
      </c>
      <c r="E7" s="3" t="n">
        <v>2</v>
      </c>
      <c r="F7" s="3" t="inlineStr">
        <is>
          <t>FAIL</t>
        </is>
      </c>
    </row>
    <row r="8">
      <c r="A8" s="3" t="inlineStr">
        <is>
          <t>MENA-PAK</t>
        </is>
      </c>
      <c r="B8" s="3" t="inlineStr">
        <is>
          <t>INV_NEG_ONHAND</t>
        </is>
      </c>
      <c r="C8" s="3" t="inlineStr">
        <is>
          <t>HIGH</t>
        </is>
      </c>
      <c r="D8" s="3" t="inlineStr">
        <is>
          <t>Negative on-hand quantity in inventory extract</t>
        </is>
      </c>
      <c r="E8" s="3" t="n">
        <v>2</v>
      </c>
      <c r="F8" s="3" t="inlineStr">
        <is>
          <t>FAIL</t>
        </is>
      </c>
    </row>
    <row r="9">
      <c r="A9" s="3" t="inlineStr">
        <is>
          <t>South Africa</t>
        </is>
      </c>
      <c r="B9" s="3" t="inlineStr">
        <is>
          <t>INV_NEG_ONHAND</t>
        </is>
      </c>
      <c r="C9" s="3" t="inlineStr">
        <is>
          <t>HIGH</t>
        </is>
      </c>
      <c r="D9" s="3" t="inlineStr">
        <is>
          <t>Negative on-hand quantity in inventory extract</t>
        </is>
      </c>
      <c r="E9" s="3" t="n">
        <v>2</v>
      </c>
      <c r="F9" s="3" t="inlineStr">
        <is>
          <t>FAIL</t>
        </is>
      </c>
    </row>
    <row r="10">
      <c r="A10" s="3" t="inlineStr">
        <is>
          <t>APAC</t>
        </is>
      </c>
      <c r="B10" s="3" t="inlineStr">
        <is>
          <t>INV_NULL_SS</t>
        </is>
      </c>
      <c r="C10" s="3" t="inlineStr">
        <is>
          <t>MEDIUM</t>
        </is>
      </c>
      <c r="D10" s="3" t="inlineStr">
        <is>
          <t>Missing safety stock value</t>
        </is>
      </c>
      <c r="E10" s="3" t="n">
        <v>2</v>
      </c>
      <c r="F10" s="3" t="inlineStr">
        <is>
          <t>FAIL</t>
        </is>
      </c>
    </row>
    <row r="11">
      <c r="A11" s="3" t="inlineStr">
        <is>
          <t>India</t>
        </is>
      </c>
      <c r="B11" s="3" t="inlineStr">
        <is>
          <t>INV_NULL_SS</t>
        </is>
      </c>
      <c r="C11" s="3" t="inlineStr">
        <is>
          <t>MEDIUM</t>
        </is>
      </c>
      <c r="D11" s="3" t="inlineStr">
        <is>
          <t>Missing safety stock value</t>
        </is>
      </c>
      <c r="E11" s="3" t="n">
        <v>2</v>
      </c>
      <c r="F11" s="3" t="inlineStr">
        <is>
          <t>FAIL</t>
        </is>
      </c>
    </row>
    <row r="12">
      <c r="A12" s="3" t="inlineStr">
        <is>
          <t>MENA-PAK</t>
        </is>
      </c>
      <c r="B12" s="3" t="inlineStr">
        <is>
          <t>INV_NULL_SS</t>
        </is>
      </c>
      <c r="C12" s="3" t="inlineStr">
        <is>
          <t>MEDIUM</t>
        </is>
      </c>
      <c r="D12" s="3" t="inlineStr">
        <is>
          <t>Missing safety stock value</t>
        </is>
      </c>
      <c r="E12" s="3" t="n">
        <v>2</v>
      </c>
      <c r="F12" s="3" t="inlineStr">
        <is>
          <t>FAIL</t>
        </is>
      </c>
    </row>
    <row r="13">
      <c r="A13" s="3" t="inlineStr">
        <is>
          <t>South Africa</t>
        </is>
      </c>
      <c r="B13" s="3" t="inlineStr">
        <is>
          <t>INV_NULL_SS</t>
        </is>
      </c>
      <c r="C13" s="3" t="inlineStr">
        <is>
          <t>MEDIUM</t>
        </is>
      </c>
      <c r="D13" s="3" t="inlineStr">
        <is>
          <t>Missing safety stock value</t>
        </is>
      </c>
      <c r="E13" s="3" t="n">
        <v>2</v>
      </c>
      <c r="F13" s="3" t="inlineStr">
        <is>
          <t>FAIL</t>
        </is>
      </c>
    </row>
    <row r="14">
      <c r="A14" s="3" t="inlineStr">
        <is>
          <t>APAC</t>
        </is>
      </c>
      <c r="B14" s="3" t="inlineStr">
        <is>
          <t>INV_STALE</t>
        </is>
      </c>
      <c r="C14" s="3" t="inlineStr">
        <is>
          <t>HIGH</t>
        </is>
      </c>
      <c r="D14" s="3" t="inlineStr">
        <is>
          <t>Inventory snapshot older than 3 days at run date</t>
        </is>
      </c>
      <c r="E14" s="3" t="n">
        <v>47</v>
      </c>
      <c r="F14" s="3" t="inlineStr">
        <is>
          <t>FAIL</t>
        </is>
      </c>
    </row>
    <row r="15">
      <c r="A15" s="3" t="inlineStr">
        <is>
          <t>India</t>
        </is>
      </c>
      <c r="B15" s="3" t="inlineStr">
        <is>
          <t>INV_STALE</t>
        </is>
      </c>
      <c r="C15" s="3" t="inlineStr">
        <is>
          <t>HIGH</t>
        </is>
      </c>
      <c r="D15" s="3" t="inlineStr">
        <is>
          <t>Inventory snapshot older than 3 days at run date</t>
        </is>
      </c>
      <c r="E15" s="3" t="n">
        <v>0</v>
      </c>
      <c r="F15" s="3" t="inlineStr">
        <is>
          <t>PASS</t>
        </is>
      </c>
    </row>
    <row r="16">
      <c r="A16" s="3" t="inlineStr">
        <is>
          <t>MENA-PAK</t>
        </is>
      </c>
      <c r="B16" s="3" t="inlineStr">
        <is>
          <t>INV_STALE</t>
        </is>
      </c>
      <c r="C16" s="3" t="inlineStr">
        <is>
          <t>HIGH</t>
        </is>
      </c>
      <c r="D16" s="3" t="inlineStr">
        <is>
          <t>Inventory snapshot older than 3 days at run date</t>
        </is>
      </c>
      <c r="E16" s="3" t="n">
        <v>0</v>
      </c>
      <c r="F16" s="3" t="inlineStr">
        <is>
          <t>PASS</t>
        </is>
      </c>
    </row>
    <row r="17">
      <c r="A17" s="3" t="inlineStr">
        <is>
          <t>South Africa</t>
        </is>
      </c>
      <c r="B17" s="3" t="inlineStr">
        <is>
          <t>INV_STALE</t>
        </is>
      </c>
      <c r="C17" s="3" t="inlineStr">
        <is>
          <t>HIGH</t>
        </is>
      </c>
      <c r="D17" s="3" t="inlineStr">
        <is>
          <t>Inventory snapshot older than 3 days at run date</t>
        </is>
      </c>
      <c r="E17" s="3" t="n">
        <v>0</v>
      </c>
      <c r="F17" s="3" t="inlineStr">
        <is>
          <t>PASS</t>
        </is>
      </c>
    </row>
    <row r="18">
      <c r="A18" s="3" t="inlineStr">
        <is>
          <t>APAC</t>
        </is>
      </c>
      <c r="B18" s="3" t="inlineStr">
        <is>
          <t>FC_NULL</t>
        </is>
      </c>
      <c r="C18" s="3" t="inlineStr">
        <is>
          <t>MEDIUM</t>
        </is>
      </c>
      <c r="D18" s="3" t="inlineStr">
        <is>
          <t>Forecast row with missing quantity</t>
        </is>
      </c>
      <c r="E18" s="3" t="n">
        <v>3</v>
      </c>
      <c r="F18" s="3" t="inlineStr">
        <is>
          <t>FAIL</t>
        </is>
      </c>
    </row>
    <row r="19">
      <c r="A19" s="3" t="inlineStr">
        <is>
          <t>India</t>
        </is>
      </c>
      <c r="B19" s="3" t="inlineStr">
        <is>
          <t>FC_NULL</t>
        </is>
      </c>
      <c r="C19" s="3" t="inlineStr">
        <is>
          <t>MEDIUM</t>
        </is>
      </c>
      <c r="D19" s="3" t="inlineStr">
        <is>
          <t>Forecast row with missing quantity</t>
        </is>
      </c>
      <c r="E19" s="3" t="n">
        <v>3</v>
      </c>
      <c r="F19" s="3" t="inlineStr">
        <is>
          <t>FAIL</t>
        </is>
      </c>
    </row>
    <row r="20">
      <c r="A20" s="3" t="inlineStr">
        <is>
          <t>MENA-PAK</t>
        </is>
      </c>
      <c r="B20" s="3" t="inlineStr">
        <is>
          <t>FC_NULL</t>
        </is>
      </c>
      <c r="C20" s="3" t="inlineStr">
        <is>
          <t>MEDIUM</t>
        </is>
      </c>
      <c r="D20" s="3" t="inlineStr">
        <is>
          <t>Forecast row with missing quantity</t>
        </is>
      </c>
      <c r="E20" s="3" t="n">
        <v>3</v>
      </c>
      <c r="F20" s="3" t="inlineStr">
        <is>
          <t>FAIL</t>
        </is>
      </c>
    </row>
    <row r="21">
      <c r="A21" s="3" t="inlineStr">
        <is>
          <t>South Africa</t>
        </is>
      </c>
      <c r="B21" s="3" t="inlineStr">
        <is>
          <t>FC_NULL</t>
        </is>
      </c>
      <c r="C21" s="3" t="inlineStr">
        <is>
          <t>MEDIUM</t>
        </is>
      </c>
      <c r="D21" s="3" t="inlineStr">
        <is>
          <t>Forecast row with missing quantity</t>
        </is>
      </c>
      <c r="E21" s="3" t="n">
        <v>3</v>
      </c>
      <c r="F21" s="3" t="inlineStr">
        <is>
          <t>FAIL</t>
        </is>
      </c>
    </row>
    <row r="22">
      <c r="A22" s="3" t="inlineStr">
        <is>
          <t>APAC</t>
        </is>
      </c>
      <c r="B22" s="3" t="inlineStr">
        <is>
          <t>FC_HORIZON_GAP</t>
        </is>
      </c>
      <c r="C22" s="3" t="inlineStr">
        <is>
          <t>MEDIUM</t>
        </is>
      </c>
      <c r="D22" s="3" t="inlineStr">
        <is>
          <t>SKU without forecast for every one of the next 8 weeks</t>
        </is>
      </c>
      <c r="E22" s="3" t="n">
        <v>0</v>
      </c>
      <c r="F22" s="3" t="inlineStr">
        <is>
          <t>PASS</t>
        </is>
      </c>
    </row>
    <row r="23">
      <c r="A23" s="3" t="inlineStr">
        <is>
          <t>India</t>
        </is>
      </c>
      <c r="B23" s="3" t="inlineStr">
        <is>
          <t>FC_HORIZON_GAP</t>
        </is>
      </c>
      <c r="C23" s="3" t="inlineStr">
        <is>
          <t>MEDIUM</t>
        </is>
      </c>
      <c r="D23" s="3" t="inlineStr">
        <is>
          <t>SKU without forecast for every one of the next 8 weeks</t>
        </is>
      </c>
      <c r="E23" s="3" t="n">
        <v>0</v>
      </c>
      <c r="F23" s="3" t="inlineStr">
        <is>
          <t>PASS</t>
        </is>
      </c>
    </row>
    <row r="24">
      <c r="A24" s="3" t="inlineStr">
        <is>
          <t>MENA-PAK</t>
        </is>
      </c>
      <c r="B24" s="3" t="inlineStr">
        <is>
          <t>FC_HORIZON_GAP</t>
        </is>
      </c>
      <c r="C24" s="3" t="inlineStr">
        <is>
          <t>MEDIUM</t>
        </is>
      </c>
      <c r="D24" s="3" t="inlineStr">
        <is>
          <t>SKU without forecast for every one of the next 8 weeks</t>
        </is>
      </c>
      <c r="E24" s="3" t="n">
        <v>1</v>
      </c>
      <c r="F24" s="3" t="inlineStr">
        <is>
          <t>FAIL</t>
        </is>
      </c>
    </row>
    <row r="25">
      <c r="A25" s="3" t="inlineStr">
        <is>
          <t>South Africa</t>
        </is>
      </c>
      <c r="B25" s="3" t="inlineStr">
        <is>
          <t>FC_HORIZON_GAP</t>
        </is>
      </c>
      <c r="C25" s="3" t="inlineStr">
        <is>
          <t>MEDIUM</t>
        </is>
      </c>
      <c r="D25" s="3" t="inlineStr">
        <is>
          <t>SKU without forecast for every one of the next 8 weeks</t>
        </is>
      </c>
      <c r="E25" s="3" t="n">
        <v>0</v>
      </c>
      <c r="F25" s="3" t="inlineStr">
        <is>
          <t>PASS</t>
        </is>
      </c>
    </row>
    <row r="26">
      <c r="A26" s="3" t="inlineStr">
        <is>
          <t>APAC</t>
        </is>
      </c>
      <c r="B26" s="3" t="inlineStr">
        <is>
          <t>SALES_NEG</t>
        </is>
      </c>
      <c r="C26" s="3" t="inlineStr">
        <is>
          <t>LOW</t>
        </is>
      </c>
      <c r="D26" s="3" t="inlineStr">
        <is>
          <t>Negative units in sales actuals (returns not netted?)</t>
        </is>
      </c>
      <c r="E26" s="3" t="n">
        <v>1</v>
      </c>
      <c r="F26" s="3" t="inlineStr">
        <is>
          <t>FAIL</t>
        </is>
      </c>
    </row>
    <row r="27">
      <c r="A27" s="3" t="inlineStr">
        <is>
          <t>India</t>
        </is>
      </c>
      <c r="B27" s="3" t="inlineStr">
        <is>
          <t>SALES_NEG</t>
        </is>
      </c>
      <c r="C27" s="3" t="inlineStr">
        <is>
          <t>LOW</t>
        </is>
      </c>
      <c r="D27" s="3" t="inlineStr">
        <is>
          <t>Negative units in sales actuals (returns not netted?)</t>
        </is>
      </c>
      <c r="E27" s="3" t="n">
        <v>1</v>
      </c>
      <c r="F27" s="3" t="inlineStr">
        <is>
          <t>FAIL</t>
        </is>
      </c>
    </row>
    <row r="28">
      <c r="A28" s="3" t="inlineStr">
        <is>
          <t>MENA-PAK</t>
        </is>
      </c>
      <c r="B28" s="3" t="inlineStr">
        <is>
          <t>SALES_NEG</t>
        </is>
      </c>
      <c r="C28" s="3" t="inlineStr">
        <is>
          <t>LOW</t>
        </is>
      </c>
      <c r="D28" s="3" t="inlineStr">
        <is>
          <t>Negative units in sales actuals (returns not netted?)</t>
        </is>
      </c>
      <c r="E28" s="3" t="n">
        <v>1</v>
      </c>
      <c r="F28" s="3" t="inlineStr">
        <is>
          <t>FAIL</t>
        </is>
      </c>
    </row>
    <row r="29">
      <c r="A29" s="3" t="inlineStr">
        <is>
          <t>South Africa</t>
        </is>
      </c>
      <c r="B29" s="3" t="inlineStr">
        <is>
          <t>SALES_NEG</t>
        </is>
      </c>
      <c r="C29" s="3" t="inlineStr">
        <is>
          <t>LOW</t>
        </is>
      </c>
      <c r="D29" s="3" t="inlineStr">
        <is>
          <t>Negative units in sales actuals (returns not netted?)</t>
        </is>
      </c>
      <c r="E29" s="3" t="n">
        <v>1</v>
      </c>
      <c r="F29" s="3" t="inlineStr">
        <is>
          <t>FAIL</t>
        </is>
      </c>
    </row>
    <row r="30">
      <c r="A30" s="3" t="inlineStr">
        <is>
          <t>APAC</t>
        </is>
      </c>
      <c r="B30" s="3" t="inlineStr">
        <is>
          <t>PO_DATE_ORDER</t>
        </is>
      </c>
      <c r="C30" s="3" t="inlineStr">
        <is>
          <t>MEDIUM</t>
        </is>
      </c>
      <c r="D30" s="3" t="inlineStr">
        <is>
          <t>PO promised date earlier than order date</t>
        </is>
      </c>
      <c r="E30" s="3" t="n">
        <v>2</v>
      </c>
      <c r="F30" s="3" t="inlineStr">
        <is>
          <t>FAIL</t>
        </is>
      </c>
    </row>
    <row r="31">
      <c r="A31" s="3" t="inlineStr">
        <is>
          <t>India</t>
        </is>
      </c>
      <c r="B31" s="3" t="inlineStr">
        <is>
          <t>PO_DATE_ORDER</t>
        </is>
      </c>
      <c r="C31" s="3" t="inlineStr">
        <is>
          <t>MEDIUM</t>
        </is>
      </c>
      <c r="D31" s="3" t="inlineStr">
        <is>
          <t>PO promised date earlier than order date</t>
        </is>
      </c>
      <c r="E31" s="3" t="n">
        <v>2</v>
      </c>
      <c r="F31" s="3" t="inlineStr">
        <is>
          <t>FAIL</t>
        </is>
      </c>
    </row>
    <row r="32">
      <c r="A32" s="3" t="inlineStr">
        <is>
          <t>MENA-PAK</t>
        </is>
      </c>
      <c r="B32" s="3" t="inlineStr">
        <is>
          <t>PO_DATE_ORDER</t>
        </is>
      </c>
      <c r="C32" s="3" t="inlineStr">
        <is>
          <t>MEDIUM</t>
        </is>
      </c>
      <c r="D32" s="3" t="inlineStr">
        <is>
          <t>PO promised date earlier than order date</t>
        </is>
      </c>
      <c r="E32" s="3" t="n">
        <v>2</v>
      </c>
      <c r="F32" s="3" t="inlineStr">
        <is>
          <t>FAIL</t>
        </is>
      </c>
    </row>
    <row r="33">
      <c r="A33" s="3" t="inlineStr">
        <is>
          <t>South Africa</t>
        </is>
      </c>
      <c r="B33" s="3" t="inlineStr">
        <is>
          <t>PO_DATE_ORDER</t>
        </is>
      </c>
      <c r="C33" s="3" t="inlineStr">
        <is>
          <t>MEDIUM</t>
        </is>
      </c>
      <c r="D33" s="3" t="inlineStr">
        <is>
          <t>PO promised date earlier than order date</t>
        </is>
      </c>
      <c r="E33" s="3" t="n">
        <v>2</v>
      </c>
      <c r="F33" s="3" t="inlineStr">
        <is>
          <t>FAIL</t>
        </is>
      </c>
    </row>
    <row r="34">
      <c r="A34" s="3" t="inlineStr">
        <is>
          <t>APAC</t>
        </is>
      </c>
      <c r="B34" s="3" t="inlineStr">
        <is>
          <t>PO_ORPHAN</t>
        </is>
      </c>
      <c r="C34" s="3" t="inlineStr">
        <is>
          <t>HIGH</t>
        </is>
      </c>
      <c r="D34" s="3" t="inlineStr">
        <is>
          <t>PO references a SKU that is not in the inventory master</t>
        </is>
      </c>
      <c r="E34" s="3" t="n">
        <v>2</v>
      </c>
      <c r="F34" s="3" t="inlineStr">
        <is>
          <t>FAIL</t>
        </is>
      </c>
    </row>
    <row r="35">
      <c r="A35" s="3" t="inlineStr">
        <is>
          <t>India</t>
        </is>
      </c>
      <c r="B35" s="3" t="inlineStr">
        <is>
          <t>PO_ORPHAN</t>
        </is>
      </c>
      <c r="C35" s="3" t="inlineStr">
        <is>
          <t>HIGH</t>
        </is>
      </c>
      <c r="D35" s="3" t="inlineStr">
        <is>
          <t>PO references a SKU that is not in the inventory master</t>
        </is>
      </c>
      <c r="E35" s="3" t="n">
        <v>2</v>
      </c>
      <c r="F35" s="3" t="inlineStr">
        <is>
          <t>FAIL</t>
        </is>
      </c>
    </row>
    <row r="36">
      <c r="A36" s="3" t="inlineStr">
        <is>
          <t>MENA-PAK</t>
        </is>
      </c>
      <c r="B36" s="3" t="inlineStr">
        <is>
          <t>PO_ORPHAN</t>
        </is>
      </c>
      <c r="C36" s="3" t="inlineStr">
        <is>
          <t>HIGH</t>
        </is>
      </c>
      <c r="D36" s="3" t="inlineStr">
        <is>
          <t>PO references a SKU that is not in the inventory master</t>
        </is>
      </c>
      <c r="E36" s="3" t="n">
        <v>2</v>
      </c>
      <c r="F36" s="3" t="inlineStr">
        <is>
          <t>FAIL</t>
        </is>
      </c>
    </row>
    <row r="37">
      <c r="A37" s="3" t="inlineStr">
        <is>
          <t>South Africa</t>
        </is>
      </c>
      <c r="B37" s="3" t="inlineStr">
        <is>
          <t>PO_ORPHAN</t>
        </is>
      </c>
      <c r="C37" s="3" t="inlineStr">
        <is>
          <t>HIGH</t>
        </is>
      </c>
      <c r="D37" s="3" t="inlineStr">
        <is>
          <t>PO references a SKU that is not in the inventory master</t>
        </is>
      </c>
      <c r="E37" s="3" t="n">
        <v>2</v>
      </c>
      <c r="F37" s="3" t="inlineStr">
        <is>
          <t>FAIL</t>
        </is>
      </c>
    </row>
    <row r="38">
      <c r="A38" s="3" t="inlineStr">
        <is>
          <t>APAC</t>
        </is>
      </c>
      <c r="B38" s="3" t="inlineStr">
        <is>
          <t>PO_QTY</t>
        </is>
      </c>
      <c r="C38" s="3" t="inlineStr">
        <is>
          <t>LOW</t>
        </is>
      </c>
      <c r="D38" s="3" t="inlineStr">
        <is>
          <t>PO with non-positive ordered quantity</t>
        </is>
      </c>
      <c r="E38" s="3" t="n">
        <v>0</v>
      </c>
      <c r="F38" s="3" t="inlineStr">
        <is>
          <t>PASS</t>
        </is>
      </c>
    </row>
    <row r="39">
      <c r="A39" s="3" t="inlineStr">
        <is>
          <t>India</t>
        </is>
      </c>
      <c r="B39" s="3" t="inlineStr">
        <is>
          <t>PO_QTY</t>
        </is>
      </c>
      <c r="C39" s="3" t="inlineStr">
        <is>
          <t>LOW</t>
        </is>
      </c>
      <c r="D39" s="3" t="inlineStr">
        <is>
          <t>PO with non-positive ordered quantity</t>
        </is>
      </c>
      <c r="E39" s="3" t="n">
        <v>0</v>
      </c>
      <c r="F39" s="3" t="inlineStr">
        <is>
          <t>PASS</t>
        </is>
      </c>
    </row>
    <row r="40">
      <c r="A40" s="3" t="inlineStr">
        <is>
          <t>MENA-PAK</t>
        </is>
      </c>
      <c r="B40" s="3" t="inlineStr">
        <is>
          <t>PO_QTY</t>
        </is>
      </c>
      <c r="C40" s="3" t="inlineStr">
        <is>
          <t>LOW</t>
        </is>
      </c>
      <c r="D40" s="3" t="inlineStr">
        <is>
          <t>PO with non-positive ordered quantity</t>
        </is>
      </c>
      <c r="E40" s="3" t="n">
        <v>0</v>
      </c>
      <c r="F40" s="3" t="inlineStr">
        <is>
          <t>PASS</t>
        </is>
      </c>
    </row>
    <row r="41">
      <c r="A41" s="3" t="inlineStr">
        <is>
          <t>South Africa</t>
        </is>
      </c>
      <c r="B41" s="3" t="inlineStr">
        <is>
          <t>PO_QTY</t>
        </is>
      </c>
      <c r="C41" s="3" t="inlineStr">
        <is>
          <t>LOW</t>
        </is>
      </c>
      <c r="D41" s="3" t="inlineStr">
        <is>
          <t>PO with non-positive ordered quantity</t>
        </is>
      </c>
      <c r="E41" s="3" t="n">
        <v>0</v>
      </c>
      <c r="F4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2026-10-25T17:16:02Z</dcterms:created>
  <dcterms:modified xmlns:dcterms="http://purl.org/dc/terms/" xmlns:xsi="http://www.w3.org/2001/XMLSchema-instance" xsi:type="dcterms:W3CDTF">2026-10-25T17:16:02Z</dcterms:modified>
</cp:coreProperties>
</file>